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001\work_desktop\_bcrd\databcrd\inst\"/>
    </mc:Choice>
  </mc:AlternateContent>
  <xr:revisionPtr revIDLastSave="0" documentId="13_ncr:1_{CC3D4A84-A336-40B3-A79B-184011A6280F}" xr6:coauthVersionLast="47" xr6:coauthVersionMax="47" xr10:uidLastSave="{00000000-0000-0000-0000-000000000000}"/>
  <bookViews>
    <workbookView xWindow="-120" yWindow="-120" windowWidth="29040" windowHeight="15720" xr2:uid="{FB7DFEF0-ED12-4828-A440-39D19C1B1802}"/>
  </bookViews>
  <sheets>
    <sheet name="dummys" sheetId="1" r:id="rId1"/>
    <sheet name="comprobacion_codes" sheetId="2" r:id="rId2"/>
  </sheets>
  <definedNames>
    <definedName name="_xlnm._FilterDatabase" localSheetId="0" hidden="1">dummys!$B$1:$X$612</definedName>
    <definedName name="proyAnterio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2" i="2"/>
  <c r="O612" i="1"/>
  <c r="M612" i="1"/>
  <c r="K612" i="1"/>
  <c r="O611" i="1"/>
  <c r="M611" i="1"/>
  <c r="K611" i="1"/>
  <c r="O610" i="1"/>
  <c r="M610" i="1"/>
  <c r="K610" i="1"/>
  <c r="O609" i="1"/>
  <c r="M609" i="1"/>
  <c r="K609" i="1"/>
  <c r="O608" i="1"/>
  <c r="M608" i="1"/>
  <c r="K608" i="1"/>
  <c r="O607" i="1"/>
  <c r="M607" i="1"/>
  <c r="K607" i="1"/>
  <c r="O606" i="1"/>
  <c r="M606" i="1"/>
  <c r="K606" i="1"/>
  <c r="O605" i="1"/>
  <c r="M605" i="1"/>
  <c r="K605" i="1"/>
  <c r="O604" i="1"/>
  <c r="M604" i="1"/>
  <c r="K604" i="1"/>
  <c r="O603" i="1"/>
  <c r="M603" i="1"/>
  <c r="K603" i="1"/>
  <c r="O602" i="1"/>
  <c r="M602" i="1"/>
  <c r="K602" i="1"/>
  <c r="O601" i="1"/>
  <c r="M601" i="1"/>
  <c r="K601" i="1"/>
  <c r="O600" i="1"/>
  <c r="M600" i="1"/>
  <c r="K600" i="1"/>
  <c r="O599" i="1"/>
  <c r="M599" i="1"/>
  <c r="K599" i="1"/>
  <c r="O598" i="1"/>
  <c r="M598" i="1"/>
  <c r="K598" i="1"/>
  <c r="O597" i="1"/>
  <c r="M597" i="1"/>
  <c r="K597" i="1"/>
  <c r="O596" i="1"/>
  <c r="M596" i="1"/>
  <c r="K596" i="1"/>
  <c r="O595" i="1"/>
  <c r="M595" i="1"/>
  <c r="K595" i="1"/>
  <c r="O594" i="1"/>
  <c r="M594" i="1"/>
  <c r="K594" i="1"/>
  <c r="O593" i="1"/>
  <c r="M593" i="1"/>
  <c r="K593" i="1"/>
  <c r="O592" i="1"/>
  <c r="M592" i="1"/>
  <c r="K592" i="1"/>
  <c r="O591" i="1"/>
  <c r="M591" i="1"/>
  <c r="K591" i="1"/>
  <c r="O590" i="1"/>
  <c r="M590" i="1"/>
  <c r="K590" i="1"/>
  <c r="O589" i="1"/>
  <c r="M589" i="1"/>
  <c r="K589" i="1"/>
  <c r="O588" i="1"/>
  <c r="M588" i="1"/>
  <c r="K588" i="1"/>
  <c r="O587" i="1"/>
  <c r="M587" i="1"/>
  <c r="K587" i="1"/>
  <c r="O586" i="1"/>
  <c r="M586" i="1"/>
  <c r="K586" i="1"/>
  <c r="O585" i="1"/>
  <c r="M585" i="1"/>
  <c r="K585" i="1"/>
  <c r="O584" i="1"/>
  <c r="M584" i="1"/>
  <c r="K584" i="1"/>
  <c r="O583" i="1"/>
  <c r="M583" i="1"/>
  <c r="K583" i="1"/>
  <c r="O582" i="1"/>
  <c r="M582" i="1"/>
  <c r="K582" i="1"/>
  <c r="O581" i="1"/>
  <c r="M581" i="1"/>
  <c r="K581" i="1"/>
  <c r="O580" i="1"/>
  <c r="M580" i="1"/>
  <c r="K580" i="1"/>
  <c r="O579" i="1"/>
  <c r="M579" i="1"/>
  <c r="K579" i="1"/>
  <c r="O578" i="1"/>
  <c r="M578" i="1"/>
  <c r="K578" i="1"/>
  <c r="O577" i="1"/>
  <c r="M577" i="1"/>
  <c r="K577" i="1"/>
  <c r="O576" i="1"/>
  <c r="M576" i="1"/>
  <c r="K576" i="1"/>
  <c r="O575" i="1"/>
  <c r="M575" i="1"/>
  <c r="K575" i="1"/>
  <c r="O574" i="1"/>
  <c r="M574" i="1"/>
  <c r="K574" i="1"/>
  <c r="O573" i="1"/>
  <c r="M573" i="1"/>
  <c r="K573" i="1"/>
  <c r="O572" i="1"/>
  <c r="M572" i="1"/>
  <c r="K572" i="1"/>
  <c r="O571" i="1"/>
  <c r="M571" i="1"/>
  <c r="K571" i="1"/>
  <c r="O570" i="1"/>
  <c r="M570" i="1"/>
  <c r="K570" i="1"/>
  <c r="O569" i="1"/>
  <c r="M569" i="1"/>
  <c r="K569" i="1"/>
  <c r="O568" i="1"/>
  <c r="M568" i="1"/>
  <c r="K568" i="1"/>
  <c r="O567" i="1"/>
  <c r="M567" i="1"/>
  <c r="K567" i="1"/>
  <c r="O566" i="1"/>
  <c r="M566" i="1"/>
  <c r="K566" i="1"/>
  <c r="O565" i="1"/>
  <c r="M565" i="1"/>
  <c r="K565" i="1"/>
  <c r="O564" i="1"/>
  <c r="M564" i="1"/>
  <c r="K564" i="1"/>
  <c r="O563" i="1"/>
  <c r="M563" i="1"/>
  <c r="K563" i="1"/>
  <c r="O562" i="1"/>
  <c r="M562" i="1"/>
  <c r="K562" i="1"/>
  <c r="O561" i="1"/>
  <c r="M561" i="1"/>
  <c r="K561" i="1"/>
  <c r="O560" i="1"/>
  <c r="M560" i="1"/>
  <c r="K560" i="1"/>
  <c r="O559" i="1"/>
  <c r="M559" i="1"/>
  <c r="K559" i="1"/>
  <c r="O558" i="1"/>
  <c r="M558" i="1"/>
  <c r="K558" i="1"/>
  <c r="O557" i="1"/>
  <c r="M557" i="1"/>
  <c r="K557" i="1"/>
  <c r="O556" i="1"/>
  <c r="M556" i="1"/>
  <c r="K556" i="1"/>
  <c r="O555" i="1"/>
  <c r="M555" i="1"/>
  <c r="K555" i="1"/>
  <c r="O554" i="1"/>
  <c r="M554" i="1"/>
  <c r="K554" i="1"/>
  <c r="O553" i="1"/>
  <c r="M553" i="1"/>
  <c r="K553" i="1"/>
  <c r="O552" i="1"/>
  <c r="M552" i="1"/>
  <c r="K552" i="1"/>
  <c r="O551" i="1"/>
  <c r="M551" i="1"/>
  <c r="K551" i="1"/>
  <c r="O550" i="1"/>
  <c r="M550" i="1"/>
  <c r="K550" i="1"/>
  <c r="O549" i="1"/>
  <c r="M549" i="1"/>
  <c r="K549" i="1"/>
  <c r="O548" i="1"/>
  <c r="M548" i="1"/>
  <c r="K548" i="1"/>
  <c r="O547" i="1"/>
  <c r="M547" i="1"/>
  <c r="K547" i="1"/>
  <c r="O546" i="1"/>
  <c r="M546" i="1"/>
  <c r="K546" i="1"/>
  <c r="O545" i="1"/>
  <c r="M545" i="1"/>
  <c r="K545" i="1"/>
  <c r="O544" i="1"/>
  <c r="M544" i="1"/>
  <c r="K544" i="1"/>
  <c r="O543" i="1"/>
  <c r="M543" i="1"/>
  <c r="K543" i="1"/>
  <c r="O542" i="1"/>
  <c r="M542" i="1"/>
  <c r="K542" i="1"/>
  <c r="O541" i="1"/>
  <c r="M541" i="1"/>
  <c r="K541" i="1"/>
  <c r="O540" i="1"/>
  <c r="M540" i="1"/>
  <c r="K540" i="1"/>
  <c r="O539" i="1"/>
  <c r="M539" i="1"/>
  <c r="K539" i="1"/>
  <c r="O538" i="1"/>
  <c r="M538" i="1"/>
  <c r="K538" i="1"/>
  <c r="O537" i="1"/>
  <c r="M537" i="1"/>
  <c r="K537" i="1"/>
  <c r="O536" i="1"/>
  <c r="M536" i="1"/>
  <c r="K536" i="1"/>
  <c r="O535" i="1"/>
  <c r="M535" i="1"/>
  <c r="K535" i="1"/>
  <c r="O534" i="1"/>
  <c r="M534" i="1"/>
  <c r="K534" i="1"/>
  <c r="O533" i="1"/>
  <c r="M533" i="1"/>
  <c r="K533" i="1"/>
  <c r="O532" i="1"/>
  <c r="M532" i="1"/>
  <c r="K532" i="1"/>
  <c r="O531" i="1"/>
  <c r="M531" i="1"/>
  <c r="K531" i="1"/>
  <c r="O530" i="1"/>
  <c r="M530" i="1"/>
  <c r="K530" i="1"/>
  <c r="O529" i="1"/>
  <c r="M529" i="1"/>
  <c r="K529" i="1"/>
  <c r="O528" i="1"/>
  <c r="M528" i="1"/>
  <c r="K528" i="1"/>
  <c r="O527" i="1"/>
  <c r="M527" i="1"/>
  <c r="K527" i="1"/>
  <c r="O526" i="1"/>
  <c r="M526" i="1"/>
  <c r="K526" i="1"/>
  <c r="O525" i="1"/>
  <c r="M525" i="1"/>
  <c r="K525" i="1"/>
  <c r="O524" i="1"/>
  <c r="M524" i="1"/>
  <c r="K524" i="1"/>
  <c r="O523" i="1"/>
  <c r="M523" i="1"/>
  <c r="K523" i="1"/>
  <c r="O522" i="1"/>
  <c r="M522" i="1"/>
  <c r="K522" i="1"/>
  <c r="O521" i="1"/>
  <c r="M521" i="1"/>
  <c r="K521" i="1"/>
  <c r="O520" i="1"/>
  <c r="M520" i="1"/>
  <c r="K520" i="1"/>
  <c r="O519" i="1"/>
  <c r="M519" i="1"/>
  <c r="K519" i="1"/>
  <c r="O518" i="1"/>
  <c r="M518" i="1"/>
  <c r="K518" i="1"/>
  <c r="O517" i="1"/>
  <c r="M517" i="1"/>
  <c r="K517" i="1"/>
  <c r="O516" i="1"/>
  <c r="M516" i="1"/>
  <c r="K516" i="1"/>
  <c r="O515" i="1"/>
  <c r="M515" i="1"/>
  <c r="K515" i="1"/>
  <c r="O514" i="1"/>
  <c r="M514" i="1"/>
  <c r="K514" i="1"/>
  <c r="O513" i="1"/>
  <c r="M513" i="1"/>
  <c r="K513" i="1"/>
  <c r="O512" i="1"/>
  <c r="M512" i="1"/>
  <c r="K512" i="1"/>
  <c r="O511" i="1"/>
  <c r="M511" i="1"/>
  <c r="K511" i="1"/>
  <c r="O510" i="1"/>
  <c r="M510" i="1"/>
  <c r="K510" i="1"/>
  <c r="O509" i="1"/>
  <c r="M509" i="1"/>
  <c r="K509" i="1"/>
  <c r="O508" i="1"/>
  <c r="M508" i="1"/>
  <c r="K508" i="1"/>
  <c r="O507" i="1"/>
  <c r="M507" i="1"/>
  <c r="K507" i="1"/>
  <c r="O506" i="1"/>
  <c r="M506" i="1"/>
  <c r="K506" i="1"/>
  <c r="O505" i="1"/>
  <c r="M505" i="1"/>
  <c r="K505" i="1"/>
  <c r="O504" i="1"/>
  <c r="M504" i="1"/>
  <c r="K504" i="1"/>
  <c r="O503" i="1"/>
  <c r="M503" i="1"/>
  <c r="K503" i="1"/>
  <c r="O502" i="1"/>
  <c r="M502" i="1"/>
  <c r="K502" i="1"/>
  <c r="O501" i="1"/>
  <c r="M501" i="1"/>
  <c r="K501" i="1"/>
  <c r="O500" i="1"/>
  <c r="M500" i="1"/>
  <c r="K500" i="1"/>
  <c r="O499" i="1"/>
  <c r="M499" i="1"/>
  <c r="K499" i="1"/>
  <c r="O498" i="1"/>
  <c r="M498" i="1"/>
  <c r="K498" i="1"/>
  <c r="O497" i="1"/>
  <c r="M497" i="1"/>
  <c r="K497" i="1"/>
  <c r="O496" i="1"/>
  <c r="M496" i="1"/>
  <c r="K496" i="1"/>
  <c r="O495" i="1"/>
  <c r="M495" i="1"/>
  <c r="K495" i="1"/>
  <c r="O494" i="1"/>
  <c r="M494" i="1"/>
  <c r="K494" i="1"/>
  <c r="O493" i="1"/>
  <c r="M493" i="1"/>
  <c r="K493" i="1"/>
  <c r="O492" i="1"/>
  <c r="M492" i="1"/>
  <c r="K492" i="1"/>
  <c r="O491" i="1"/>
  <c r="M491" i="1"/>
  <c r="K491" i="1"/>
  <c r="O490" i="1"/>
  <c r="M490" i="1"/>
  <c r="K490" i="1"/>
  <c r="O489" i="1"/>
  <c r="M489" i="1"/>
  <c r="K489" i="1"/>
  <c r="O488" i="1"/>
  <c r="M488" i="1"/>
  <c r="K488" i="1"/>
  <c r="O487" i="1"/>
  <c r="M487" i="1"/>
  <c r="K487" i="1"/>
  <c r="O486" i="1"/>
  <c r="M486" i="1"/>
  <c r="K486" i="1"/>
  <c r="O485" i="1"/>
  <c r="M485" i="1"/>
  <c r="K485" i="1"/>
  <c r="O484" i="1"/>
  <c r="M484" i="1"/>
  <c r="K484" i="1"/>
  <c r="O483" i="1"/>
  <c r="M483" i="1"/>
  <c r="K483" i="1"/>
  <c r="O482" i="1"/>
  <c r="M482" i="1"/>
  <c r="K482" i="1"/>
  <c r="O481" i="1"/>
  <c r="M481" i="1"/>
  <c r="K481" i="1"/>
  <c r="O480" i="1"/>
  <c r="M480" i="1"/>
  <c r="K480" i="1"/>
  <c r="O479" i="1"/>
  <c r="M479" i="1"/>
  <c r="K479" i="1"/>
  <c r="O478" i="1"/>
  <c r="M478" i="1"/>
  <c r="K478" i="1"/>
  <c r="O477" i="1"/>
  <c r="M477" i="1"/>
  <c r="K477" i="1"/>
  <c r="O476" i="1"/>
  <c r="M476" i="1"/>
  <c r="K476" i="1"/>
  <c r="O475" i="1"/>
  <c r="M475" i="1"/>
  <c r="K475" i="1"/>
  <c r="O474" i="1"/>
  <c r="M474" i="1"/>
  <c r="K474" i="1"/>
  <c r="O473" i="1"/>
  <c r="M473" i="1"/>
  <c r="K473" i="1"/>
  <c r="O472" i="1"/>
  <c r="M472" i="1"/>
  <c r="K472" i="1"/>
  <c r="O471" i="1"/>
  <c r="M471" i="1"/>
  <c r="K471" i="1"/>
  <c r="O470" i="1"/>
  <c r="M470" i="1"/>
  <c r="K470" i="1"/>
  <c r="O469" i="1"/>
  <c r="M469" i="1"/>
  <c r="K469" i="1"/>
  <c r="O468" i="1"/>
  <c r="M468" i="1"/>
  <c r="K468" i="1"/>
  <c r="O467" i="1"/>
  <c r="M467" i="1"/>
  <c r="K467" i="1"/>
  <c r="O466" i="1"/>
  <c r="M466" i="1"/>
  <c r="K466" i="1"/>
  <c r="O465" i="1"/>
  <c r="M465" i="1"/>
  <c r="K465" i="1"/>
  <c r="O464" i="1"/>
  <c r="M464" i="1"/>
  <c r="K464" i="1"/>
  <c r="O463" i="1"/>
  <c r="M463" i="1"/>
  <c r="K463" i="1"/>
  <c r="O462" i="1"/>
  <c r="M462" i="1"/>
  <c r="K462" i="1"/>
  <c r="O461" i="1"/>
  <c r="M461" i="1"/>
  <c r="K461" i="1"/>
  <c r="O460" i="1"/>
  <c r="M460" i="1"/>
  <c r="K460" i="1"/>
  <c r="O459" i="1"/>
  <c r="M459" i="1"/>
  <c r="K459" i="1"/>
  <c r="O458" i="1"/>
  <c r="M458" i="1"/>
  <c r="K458" i="1"/>
  <c r="O457" i="1"/>
  <c r="M457" i="1"/>
  <c r="K457" i="1"/>
  <c r="O456" i="1"/>
  <c r="M456" i="1"/>
  <c r="K456" i="1"/>
  <c r="O455" i="1"/>
  <c r="M455" i="1"/>
  <c r="K455" i="1"/>
  <c r="O454" i="1"/>
  <c r="M454" i="1"/>
  <c r="K454" i="1"/>
  <c r="O453" i="1"/>
  <c r="M453" i="1"/>
  <c r="K453" i="1"/>
  <c r="O452" i="1"/>
  <c r="M452" i="1"/>
  <c r="K452" i="1"/>
  <c r="O451" i="1"/>
  <c r="M451" i="1"/>
  <c r="K451" i="1"/>
  <c r="O450" i="1"/>
  <c r="M450" i="1"/>
  <c r="K450" i="1"/>
  <c r="O449" i="1"/>
  <c r="M449" i="1"/>
  <c r="K449" i="1"/>
  <c r="O448" i="1"/>
  <c r="M448" i="1"/>
  <c r="K448" i="1"/>
  <c r="O447" i="1"/>
  <c r="M447" i="1"/>
  <c r="K447" i="1"/>
  <c r="O446" i="1"/>
  <c r="M446" i="1"/>
  <c r="K446" i="1"/>
  <c r="O445" i="1"/>
  <c r="M445" i="1"/>
  <c r="K445" i="1"/>
  <c r="O444" i="1"/>
  <c r="M444" i="1"/>
  <c r="K444" i="1"/>
  <c r="O443" i="1"/>
  <c r="M443" i="1"/>
  <c r="K443" i="1"/>
  <c r="O442" i="1"/>
  <c r="M442" i="1"/>
  <c r="K442" i="1"/>
  <c r="O441" i="1"/>
  <c r="M441" i="1"/>
  <c r="K441" i="1"/>
  <c r="O440" i="1"/>
  <c r="M440" i="1"/>
  <c r="K440" i="1"/>
  <c r="O439" i="1"/>
  <c r="M439" i="1"/>
  <c r="K439" i="1"/>
  <c r="O438" i="1"/>
  <c r="M438" i="1"/>
  <c r="K438" i="1"/>
  <c r="O437" i="1"/>
  <c r="M437" i="1"/>
  <c r="K437" i="1"/>
  <c r="O436" i="1"/>
  <c r="M436" i="1"/>
  <c r="K436" i="1"/>
  <c r="O435" i="1"/>
  <c r="M435" i="1"/>
  <c r="K435" i="1"/>
  <c r="O434" i="1"/>
  <c r="M434" i="1"/>
  <c r="K434" i="1"/>
  <c r="O433" i="1"/>
  <c r="M433" i="1"/>
  <c r="K433" i="1"/>
  <c r="O432" i="1"/>
  <c r="M432" i="1"/>
  <c r="K432" i="1"/>
  <c r="O431" i="1"/>
  <c r="M431" i="1"/>
  <c r="K431" i="1"/>
  <c r="O430" i="1"/>
  <c r="M430" i="1"/>
  <c r="K430" i="1"/>
  <c r="O429" i="1"/>
  <c r="M429" i="1"/>
  <c r="K429" i="1"/>
  <c r="O428" i="1"/>
  <c r="M428" i="1"/>
  <c r="K428" i="1"/>
  <c r="O427" i="1"/>
  <c r="M427" i="1"/>
  <c r="K427" i="1"/>
  <c r="O426" i="1"/>
  <c r="M426" i="1"/>
  <c r="K426" i="1"/>
  <c r="O425" i="1"/>
  <c r="M425" i="1"/>
  <c r="K425" i="1"/>
  <c r="O424" i="1"/>
  <c r="M424" i="1"/>
  <c r="K424" i="1"/>
  <c r="O423" i="1"/>
  <c r="M423" i="1"/>
  <c r="K423" i="1"/>
  <c r="O422" i="1"/>
  <c r="M422" i="1"/>
  <c r="K422" i="1"/>
  <c r="O421" i="1"/>
  <c r="M421" i="1"/>
  <c r="K421" i="1"/>
  <c r="O420" i="1"/>
  <c r="M420" i="1"/>
  <c r="K420" i="1"/>
  <c r="O419" i="1"/>
  <c r="M419" i="1"/>
  <c r="K419" i="1"/>
  <c r="O418" i="1"/>
  <c r="M418" i="1"/>
  <c r="K418" i="1"/>
  <c r="O417" i="1"/>
  <c r="M417" i="1"/>
  <c r="K417" i="1"/>
  <c r="O416" i="1"/>
  <c r="M416" i="1"/>
  <c r="K416" i="1"/>
  <c r="O415" i="1"/>
  <c r="M415" i="1"/>
  <c r="K415" i="1"/>
  <c r="O414" i="1"/>
  <c r="M414" i="1"/>
  <c r="K414" i="1"/>
  <c r="O413" i="1"/>
  <c r="M413" i="1"/>
  <c r="K413" i="1"/>
  <c r="O412" i="1"/>
  <c r="M412" i="1"/>
  <c r="K412" i="1"/>
  <c r="O411" i="1"/>
  <c r="M411" i="1"/>
  <c r="K411" i="1"/>
  <c r="O410" i="1"/>
  <c r="M410" i="1"/>
  <c r="K410" i="1"/>
  <c r="O409" i="1"/>
  <c r="M409" i="1"/>
  <c r="K409" i="1"/>
  <c r="O408" i="1"/>
  <c r="M408" i="1"/>
  <c r="K408" i="1"/>
  <c r="O407" i="1"/>
  <c r="M407" i="1"/>
  <c r="K407" i="1"/>
  <c r="O406" i="1"/>
  <c r="M406" i="1"/>
  <c r="K406" i="1"/>
  <c r="O405" i="1"/>
  <c r="M405" i="1"/>
  <c r="K405" i="1"/>
  <c r="O404" i="1"/>
  <c r="M404" i="1"/>
  <c r="K404" i="1"/>
  <c r="O403" i="1"/>
  <c r="M403" i="1"/>
  <c r="K403" i="1"/>
  <c r="O402" i="1"/>
  <c r="M402" i="1"/>
  <c r="K402" i="1"/>
  <c r="O401" i="1"/>
  <c r="M401" i="1"/>
  <c r="K401" i="1"/>
  <c r="O400" i="1"/>
  <c r="M400" i="1"/>
  <c r="K400" i="1"/>
  <c r="O399" i="1"/>
  <c r="M399" i="1"/>
  <c r="K399" i="1"/>
  <c r="O398" i="1"/>
  <c r="M398" i="1"/>
  <c r="K398" i="1"/>
  <c r="O397" i="1"/>
  <c r="M397" i="1"/>
  <c r="K397" i="1"/>
  <c r="O396" i="1"/>
  <c r="M396" i="1"/>
  <c r="K396" i="1"/>
  <c r="O395" i="1"/>
  <c r="M395" i="1"/>
  <c r="K395" i="1"/>
  <c r="O394" i="1"/>
  <c r="M394" i="1"/>
  <c r="K394" i="1"/>
  <c r="O393" i="1"/>
  <c r="M393" i="1"/>
  <c r="K393" i="1"/>
  <c r="O392" i="1"/>
  <c r="M392" i="1"/>
  <c r="K392" i="1"/>
  <c r="O391" i="1"/>
  <c r="M391" i="1"/>
  <c r="K391" i="1"/>
  <c r="O390" i="1"/>
  <c r="M390" i="1"/>
  <c r="K390" i="1"/>
  <c r="O389" i="1"/>
  <c r="M389" i="1"/>
  <c r="K389" i="1"/>
  <c r="O388" i="1"/>
  <c r="M388" i="1"/>
  <c r="K388" i="1"/>
  <c r="O387" i="1"/>
  <c r="M387" i="1"/>
  <c r="K387" i="1"/>
  <c r="O386" i="1"/>
  <c r="M386" i="1"/>
  <c r="K386" i="1"/>
  <c r="O385" i="1"/>
  <c r="M385" i="1"/>
  <c r="K385" i="1"/>
  <c r="O384" i="1"/>
  <c r="M384" i="1"/>
  <c r="K384" i="1"/>
  <c r="O383" i="1"/>
  <c r="M383" i="1"/>
  <c r="K383" i="1"/>
  <c r="O382" i="1"/>
  <c r="M382" i="1"/>
  <c r="K382" i="1"/>
  <c r="O381" i="1"/>
  <c r="M381" i="1"/>
  <c r="K381" i="1"/>
  <c r="O380" i="1"/>
  <c r="M380" i="1"/>
  <c r="K380" i="1"/>
  <c r="O379" i="1"/>
  <c r="M379" i="1"/>
  <c r="K379" i="1"/>
  <c r="O378" i="1"/>
  <c r="M378" i="1"/>
  <c r="K378" i="1"/>
  <c r="O377" i="1"/>
  <c r="M377" i="1"/>
  <c r="K377" i="1"/>
  <c r="O376" i="1"/>
  <c r="M376" i="1"/>
  <c r="K376" i="1"/>
  <c r="O375" i="1"/>
  <c r="M375" i="1"/>
  <c r="K375" i="1"/>
  <c r="O374" i="1"/>
  <c r="M374" i="1"/>
  <c r="K374" i="1"/>
  <c r="O373" i="1"/>
  <c r="M373" i="1"/>
  <c r="K373" i="1"/>
  <c r="O372" i="1"/>
  <c r="M372" i="1"/>
  <c r="K372" i="1"/>
  <c r="O371" i="1"/>
  <c r="M371" i="1"/>
  <c r="K371" i="1"/>
  <c r="O370" i="1"/>
  <c r="M370" i="1"/>
  <c r="K370" i="1"/>
  <c r="O369" i="1"/>
  <c r="M369" i="1"/>
  <c r="K369" i="1"/>
  <c r="O368" i="1"/>
  <c r="M368" i="1"/>
  <c r="K368" i="1"/>
  <c r="O367" i="1"/>
  <c r="M367" i="1"/>
  <c r="K367" i="1"/>
  <c r="O366" i="1"/>
  <c r="M366" i="1"/>
  <c r="K366" i="1"/>
  <c r="O365" i="1"/>
  <c r="M365" i="1"/>
  <c r="K365" i="1"/>
  <c r="O364" i="1"/>
  <c r="M364" i="1"/>
  <c r="K364" i="1"/>
  <c r="O363" i="1"/>
  <c r="M363" i="1"/>
  <c r="K363" i="1"/>
  <c r="O362" i="1"/>
  <c r="M362" i="1"/>
  <c r="K362" i="1"/>
  <c r="O361" i="1"/>
  <c r="M361" i="1"/>
  <c r="K361" i="1"/>
  <c r="O360" i="1"/>
  <c r="M360" i="1"/>
  <c r="K360" i="1"/>
  <c r="O359" i="1"/>
  <c r="M359" i="1"/>
  <c r="K359" i="1"/>
  <c r="O358" i="1"/>
  <c r="M358" i="1"/>
  <c r="K358" i="1"/>
  <c r="O357" i="1"/>
  <c r="M357" i="1"/>
  <c r="K357" i="1"/>
  <c r="O356" i="1"/>
  <c r="M356" i="1"/>
  <c r="K356" i="1"/>
  <c r="O355" i="1"/>
  <c r="M355" i="1"/>
  <c r="K355" i="1"/>
  <c r="O354" i="1"/>
  <c r="M354" i="1"/>
  <c r="K354" i="1"/>
  <c r="O353" i="1"/>
  <c r="M353" i="1"/>
  <c r="K353" i="1"/>
  <c r="O352" i="1"/>
  <c r="M352" i="1"/>
  <c r="K352" i="1"/>
  <c r="O351" i="1"/>
  <c r="M351" i="1"/>
  <c r="K351" i="1"/>
  <c r="O350" i="1"/>
  <c r="M350" i="1"/>
  <c r="K350" i="1"/>
  <c r="O349" i="1"/>
  <c r="M349" i="1"/>
  <c r="K349" i="1"/>
  <c r="O348" i="1"/>
  <c r="M348" i="1"/>
  <c r="K348" i="1"/>
  <c r="O347" i="1"/>
  <c r="M347" i="1"/>
  <c r="K347" i="1"/>
  <c r="O346" i="1"/>
  <c r="M346" i="1"/>
  <c r="K346" i="1"/>
  <c r="O345" i="1"/>
  <c r="M345" i="1"/>
  <c r="K345" i="1"/>
  <c r="O344" i="1"/>
  <c r="M344" i="1"/>
  <c r="K344" i="1"/>
  <c r="O343" i="1"/>
  <c r="M343" i="1"/>
  <c r="K343" i="1"/>
  <c r="O342" i="1"/>
  <c r="M342" i="1"/>
  <c r="K342" i="1"/>
  <c r="O341" i="1"/>
  <c r="M341" i="1"/>
  <c r="K341" i="1"/>
  <c r="O340" i="1"/>
  <c r="M340" i="1"/>
  <c r="K340" i="1"/>
  <c r="O339" i="1"/>
  <c r="M339" i="1"/>
  <c r="K339" i="1"/>
  <c r="O338" i="1"/>
  <c r="M338" i="1"/>
  <c r="K338" i="1"/>
  <c r="O337" i="1"/>
  <c r="M337" i="1"/>
  <c r="K337" i="1"/>
  <c r="O336" i="1"/>
  <c r="M336" i="1"/>
  <c r="K336" i="1"/>
  <c r="O335" i="1"/>
  <c r="M335" i="1"/>
  <c r="K335" i="1"/>
  <c r="O334" i="1"/>
  <c r="M334" i="1"/>
  <c r="K334" i="1"/>
  <c r="O333" i="1"/>
  <c r="M333" i="1"/>
  <c r="K333" i="1"/>
  <c r="O332" i="1"/>
  <c r="M332" i="1"/>
  <c r="K332" i="1"/>
  <c r="O331" i="1"/>
  <c r="M331" i="1"/>
  <c r="K331" i="1"/>
  <c r="O330" i="1"/>
  <c r="M330" i="1"/>
  <c r="K330" i="1"/>
  <c r="O329" i="1"/>
  <c r="M329" i="1"/>
  <c r="K329" i="1"/>
  <c r="O328" i="1"/>
  <c r="M328" i="1"/>
  <c r="K328" i="1"/>
  <c r="O327" i="1"/>
  <c r="M327" i="1"/>
  <c r="K327" i="1"/>
  <c r="O326" i="1"/>
  <c r="M326" i="1"/>
  <c r="K326" i="1"/>
  <c r="O325" i="1"/>
  <c r="M325" i="1"/>
  <c r="K325" i="1"/>
  <c r="O324" i="1"/>
  <c r="M324" i="1"/>
  <c r="K324" i="1"/>
  <c r="O323" i="1"/>
  <c r="M323" i="1"/>
  <c r="K323" i="1"/>
  <c r="O322" i="1"/>
  <c r="M322" i="1"/>
  <c r="K322" i="1"/>
  <c r="O321" i="1"/>
  <c r="M321" i="1"/>
  <c r="K321" i="1"/>
  <c r="O320" i="1"/>
  <c r="M320" i="1"/>
  <c r="K320" i="1"/>
  <c r="O319" i="1"/>
  <c r="M319" i="1"/>
  <c r="K319" i="1"/>
  <c r="O318" i="1"/>
  <c r="M318" i="1"/>
  <c r="K318" i="1"/>
  <c r="O317" i="1"/>
  <c r="M317" i="1"/>
  <c r="K317" i="1"/>
  <c r="O316" i="1"/>
  <c r="M316" i="1"/>
  <c r="K316" i="1"/>
  <c r="O315" i="1"/>
  <c r="M315" i="1"/>
  <c r="K315" i="1"/>
  <c r="O314" i="1"/>
  <c r="M314" i="1"/>
  <c r="K314" i="1"/>
  <c r="O313" i="1"/>
  <c r="M313" i="1"/>
  <c r="K313" i="1"/>
  <c r="O312" i="1"/>
  <c r="M312" i="1"/>
  <c r="K312" i="1"/>
  <c r="O311" i="1"/>
  <c r="M311" i="1"/>
  <c r="K311" i="1"/>
  <c r="O310" i="1"/>
  <c r="M310" i="1"/>
  <c r="K310" i="1"/>
  <c r="O309" i="1"/>
  <c r="M309" i="1"/>
  <c r="K309" i="1"/>
  <c r="O308" i="1"/>
  <c r="M308" i="1"/>
  <c r="K308" i="1"/>
  <c r="O307" i="1"/>
  <c r="M307" i="1"/>
  <c r="K307" i="1"/>
  <c r="O306" i="1"/>
  <c r="M306" i="1"/>
  <c r="K306" i="1"/>
  <c r="O305" i="1"/>
  <c r="M305" i="1"/>
  <c r="K305" i="1"/>
  <c r="O304" i="1"/>
  <c r="M304" i="1"/>
  <c r="K304" i="1"/>
  <c r="O303" i="1"/>
  <c r="M303" i="1"/>
  <c r="K303" i="1"/>
  <c r="O302" i="1"/>
  <c r="M302" i="1"/>
  <c r="K302" i="1"/>
  <c r="O301" i="1"/>
  <c r="M301" i="1"/>
  <c r="K301" i="1"/>
  <c r="O300" i="1"/>
  <c r="M300" i="1"/>
  <c r="K300" i="1"/>
  <c r="O299" i="1"/>
  <c r="M299" i="1"/>
  <c r="K299" i="1"/>
  <c r="O298" i="1"/>
  <c r="M298" i="1"/>
  <c r="K298" i="1"/>
  <c r="O297" i="1"/>
  <c r="M297" i="1"/>
  <c r="K297" i="1"/>
  <c r="O296" i="1"/>
  <c r="M296" i="1"/>
  <c r="K296" i="1"/>
  <c r="O295" i="1"/>
  <c r="M295" i="1"/>
  <c r="K295" i="1"/>
  <c r="O294" i="1"/>
  <c r="M294" i="1"/>
  <c r="K294" i="1"/>
  <c r="O293" i="1"/>
  <c r="M293" i="1"/>
  <c r="K293" i="1"/>
  <c r="O292" i="1"/>
  <c r="M292" i="1"/>
  <c r="K292" i="1"/>
  <c r="O291" i="1"/>
  <c r="M291" i="1"/>
  <c r="K291" i="1"/>
  <c r="O290" i="1"/>
  <c r="M290" i="1"/>
  <c r="K290" i="1"/>
  <c r="O289" i="1"/>
  <c r="M289" i="1"/>
  <c r="K289" i="1"/>
  <c r="O288" i="1"/>
  <c r="M288" i="1"/>
  <c r="K288" i="1"/>
  <c r="O287" i="1"/>
  <c r="M287" i="1"/>
  <c r="K287" i="1"/>
  <c r="O286" i="1"/>
  <c r="M286" i="1"/>
  <c r="K286" i="1"/>
  <c r="O285" i="1"/>
  <c r="M285" i="1"/>
  <c r="K285" i="1"/>
  <c r="O284" i="1"/>
  <c r="M284" i="1"/>
  <c r="K284" i="1"/>
  <c r="O283" i="1"/>
  <c r="M283" i="1"/>
  <c r="K283" i="1"/>
  <c r="O282" i="1"/>
  <c r="M282" i="1"/>
  <c r="K282" i="1"/>
  <c r="O281" i="1"/>
  <c r="M281" i="1"/>
  <c r="K281" i="1"/>
  <c r="O280" i="1"/>
  <c r="M280" i="1"/>
  <c r="K280" i="1"/>
  <c r="O279" i="1"/>
  <c r="M279" i="1"/>
  <c r="K279" i="1"/>
  <c r="O278" i="1"/>
  <c r="M278" i="1"/>
  <c r="K278" i="1"/>
  <c r="O277" i="1"/>
  <c r="M277" i="1"/>
  <c r="K277" i="1"/>
  <c r="O276" i="1"/>
  <c r="M276" i="1"/>
  <c r="K276" i="1"/>
  <c r="O275" i="1"/>
  <c r="M275" i="1"/>
  <c r="K275" i="1"/>
  <c r="O274" i="1"/>
  <c r="M274" i="1"/>
  <c r="K274" i="1"/>
  <c r="O273" i="1"/>
  <c r="M273" i="1"/>
  <c r="K273" i="1"/>
  <c r="O272" i="1"/>
  <c r="M272" i="1"/>
  <c r="K272" i="1"/>
  <c r="O271" i="1"/>
  <c r="M271" i="1"/>
  <c r="K271" i="1"/>
  <c r="O270" i="1"/>
  <c r="M270" i="1"/>
  <c r="K270" i="1"/>
  <c r="O269" i="1"/>
  <c r="M269" i="1"/>
  <c r="K269" i="1"/>
  <c r="O268" i="1"/>
  <c r="M268" i="1"/>
  <c r="K268" i="1"/>
  <c r="O267" i="1"/>
  <c r="M267" i="1"/>
  <c r="K267" i="1"/>
  <c r="O266" i="1"/>
  <c r="M266" i="1"/>
  <c r="K266" i="1"/>
  <c r="O265" i="1"/>
  <c r="M265" i="1"/>
  <c r="K265" i="1"/>
  <c r="O264" i="1"/>
  <c r="M264" i="1"/>
  <c r="K264" i="1"/>
  <c r="O263" i="1"/>
  <c r="M263" i="1"/>
  <c r="K263" i="1"/>
  <c r="O262" i="1"/>
  <c r="M262" i="1"/>
  <c r="K262" i="1"/>
  <c r="O261" i="1"/>
  <c r="M261" i="1"/>
  <c r="K261" i="1"/>
  <c r="O260" i="1"/>
  <c r="M260" i="1"/>
  <c r="K260" i="1"/>
  <c r="O259" i="1"/>
  <c r="M259" i="1"/>
  <c r="K259" i="1"/>
  <c r="O258" i="1"/>
  <c r="M258" i="1"/>
  <c r="K258" i="1"/>
  <c r="O257" i="1"/>
  <c r="M257" i="1"/>
  <c r="K257" i="1"/>
  <c r="O256" i="1"/>
  <c r="M256" i="1"/>
  <c r="K256" i="1"/>
  <c r="O255" i="1"/>
  <c r="M255" i="1"/>
  <c r="K255" i="1"/>
  <c r="O254" i="1"/>
  <c r="M254" i="1"/>
  <c r="K254" i="1"/>
  <c r="O253" i="1"/>
  <c r="M253" i="1"/>
  <c r="K253" i="1"/>
  <c r="O252" i="1"/>
  <c r="M252" i="1"/>
  <c r="K252" i="1"/>
  <c r="O251" i="1"/>
  <c r="M251" i="1"/>
  <c r="K251" i="1"/>
  <c r="O250" i="1"/>
  <c r="M250" i="1"/>
  <c r="K250" i="1"/>
  <c r="O249" i="1"/>
  <c r="M249" i="1"/>
  <c r="K249" i="1"/>
  <c r="O248" i="1"/>
  <c r="M248" i="1"/>
  <c r="K248" i="1"/>
  <c r="O247" i="1"/>
  <c r="M247" i="1"/>
  <c r="K247" i="1"/>
  <c r="O246" i="1"/>
  <c r="M246" i="1"/>
  <c r="K246" i="1"/>
  <c r="O245" i="1"/>
  <c r="M245" i="1"/>
  <c r="K245" i="1"/>
  <c r="O244" i="1"/>
  <c r="M244" i="1"/>
  <c r="K244" i="1"/>
  <c r="O243" i="1"/>
  <c r="M243" i="1"/>
  <c r="K243" i="1"/>
  <c r="O242" i="1"/>
  <c r="M242" i="1"/>
  <c r="K242" i="1"/>
  <c r="O241" i="1"/>
  <c r="M241" i="1"/>
  <c r="K241" i="1"/>
  <c r="O240" i="1"/>
  <c r="M240" i="1"/>
  <c r="K240" i="1"/>
  <c r="O239" i="1"/>
  <c r="M239" i="1"/>
  <c r="K239" i="1"/>
  <c r="O238" i="1"/>
  <c r="M238" i="1"/>
  <c r="K238" i="1"/>
  <c r="O237" i="1"/>
  <c r="M237" i="1"/>
  <c r="K237" i="1"/>
  <c r="O236" i="1"/>
  <c r="M236" i="1"/>
  <c r="K236" i="1"/>
  <c r="O235" i="1"/>
  <c r="M235" i="1"/>
  <c r="K235" i="1"/>
  <c r="O234" i="1"/>
  <c r="M234" i="1"/>
  <c r="K234" i="1"/>
  <c r="O233" i="1"/>
  <c r="M233" i="1"/>
  <c r="K233" i="1"/>
  <c r="O232" i="1"/>
  <c r="M232" i="1"/>
  <c r="K232" i="1"/>
  <c r="O231" i="1"/>
  <c r="M231" i="1"/>
  <c r="K231" i="1"/>
  <c r="O230" i="1"/>
  <c r="M230" i="1"/>
  <c r="K230" i="1"/>
  <c r="O229" i="1"/>
  <c r="M229" i="1"/>
  <c r="K229" i="1"/>
  <c r="O228" i="1"/>
  <c r="M228" i="1"/>
  <c r="K228" i="1"/>
  <c r="O227" i="1"/>
  <c r="M227" i="1"/>
  <c r="K227" i="1"/>
  <c r="O226" i="1"/>
  <c r="M226" i="1"/>
  <c r="K226" i="1"/>
  <c r="O225" i="1"/>
  <c r="M225" i="1"/>
  <c r="K225" i="1"/>
  <c r="O224" i="1"/>
  <c r="M224" i="1"/>
  <c r="K224" i="1"/>
  <c r="O223" i="1"/>
  <c r="M223" i="1"/>
  <c r="K223" i="1"/>
  <c r="O222" i="1"/>
  <c r="M222" i="1"/>
  <c r="K222" i="1"/>
  <c r="O221" i="1"/>
  <c r="M221" i="1"/>
  <c r="K221" i="1"/>
  <c r="O220" i="1"/>
  <c r="M220" i="1"/>
  <c r="K220" i="1"/>
  <c r="O219" i="1"/>
  <c r="M219" i="1"/>
  <c r="K219" i="1"/>
  <c r="O218" i="1"/>
  <c r="M218" i="1"/>
  <c r="K218" i="1"/>
  <c r="O217" i="1"/>
  <c r="M217" i="1"/>
  <c r="K217" i="1"/>
  <c r="O216" i="1"/>
  <c r="M216" i="1"/>
  <c r="K216" i="1"/>
  <c r="O215" i="1"/>
  <c r="M215" i="1"/>
  <c r="K215" i="1"/>
  <c r="O214" i="1"/>
  <c r="M214" i="1"/>
  <c r="K214" i="1"/>
  <c r="O213" i="1"/>
  <c r="M213" i="1"/>
  <c r="K213" i="1"/>
  <c r="O212" i="1"/>
  <c r="M212" i="1"/>
  <c r="K212" i="1"/>
  <c r="O211" i="1"/>
  <c r="M211" i="1"/>
  <c r="K211" i="1"/>
  <c r="O210" i="1"/>
  <c r="M210" i="1"/>
  <c r="K210" i="1"/>
  <c r="O209" i="1"/>
  <c r="M209" i="1"/>
  <c r="K209" i="1"/>
  <c r="O208" i="1"/>
  <c r="M208" i="1"/>
  <c r="K208" i="1"/>
  <c r="O207" i="1"/>
  <c r="M207" i="1"/>
  <c r="K207" i="1"/>
  <c r="O206" i="1"/>
  <c r="M206" i="1"/>
  <c r="K206" i="1"/>
  <c r="O205" i="1"/>
  <c r="M205" i="1"/>
  <c r="K205" i="1"/>
  <c r="O204" i="1"/>
  <c r="M204" i="1"/>
  <c r="K204" i="1"/>
  <c r="O203" i="1"/>
  <c r="M203" i="1"/>
  <c r="K203" i="1"/>
  <c r="O202" i="1"/>
  <c r="M202" i="1"/>
  <c r="K202" i="1"/>
  <c r="O201" i="1"/>
  <c r="M201" i="1"/>
  <c r="K201" i="1"/>
  <c r="O200" i="1"/>
  <c r="M200" i="1"/>
  <c r="K200" i="1"/>
  <c r="O199" i="1"/>
  <c r="M199" i="1"/>
  <c r="K199" i="1"/>
  <c r="O198" i="1"/>
  <c r="M198" i="1"/>
  <c r="K198" i="1"/>
  <c r="O197" i="1"/>
  <c r="M197" i="1"/>
  <c r="K197" i="1"/>
  <c r="O196" i="1"/>
  <c r="M196" i="1"/>
  <c r="K196" i="1"/>
  <c r="O195" i="1"/>
  <c r="M195" i="1"/>
  <c r="K195" i="1"/>
  <c r="O194" i="1"/>
  <c r="M194" i="1"/>
  <c r="K194" i="1"/>
  <c r="O193" i="1"/>
  <c r="M193" i="1"/>
  <c r="K193" i="1"/>
  <c r="O192" i="1"/>
  <c r="M192" i="1"/>
  <c r="K192" i="1"/>
  <c r="O191" i="1"/>
  <c r="M191" i="1"/>
  <c r="K191" i="1"/>
  <c r="O190" i="1"/>
  <c r="M190" i="1"/>
  <c r="K190" i="1"/>
  <c r="O189" i="1"/>
  <c r="M189" i="1"/>
  <c r="K189" i="1"/>
  <c r="O188" i="1"/>
  <c r="M188" i="1"/>
  <c r="K188" i="1"/>
  <c r="O187" i="1"/>
  <c r="M187" i="1"/>
  <c r="K187" i="1"/>
  <c r="O186" i="1"/>
  <c r="M186" i="1"/>
  <c r="K186" i="1"/>
  <c r="O185" i="1"/>
  <c r="M185" i="1"/>
  <c r="K185" i="1"/>
  <c r="O184" i="1"/>
  <c r="M184" i="1"/>
  <c r="K184" i="1"/>
  <c r="O183" i="1"/>
  <c r="M183" i="1"/>
  <c r="K183" i="1"/>
  <c r="O182" i="1"/>
  <c r="M182" i="1"/>
  <c r="K182" i="1"/>
  <c r="O181" i="1"/>
  <c r="M181" i="1"/>
  <c r="K181" i="1"/>
  <c r="O180" i="1"/>
  <c r="M180" i="1"/>
  <c r="K180" i="1"/>
  <c r="O179" i="1"/>
  <c r="M179" i="1"/>
  <c r="K179" i="1"/>
  <c r="O178" i="1"/>
  <c r="M178" i="1"/>
  <c r="K178" i="1"/>
  <c r="O177" i="1"/>
  <c r="M177" i="1"/>
  <c r="K177" i="1"/>
  <c r="O176" i="1"/>
  <c r="M176" i="1"/>
  <c r="K176" i="1"/>
  <c r="O175" i="1"/>
  <c r="M175" i="1"/>
  <c r="K175" i="1"/>
  <c r="O174" i="1"/>
  <c r="M174" i="1"/>
  <c r="K174" i="1"/>
  <c r="O173" i="1"/>
  <c r="M173" i="1"/>
  <c r="K173" i="1"/>
  <c r="O172" i="1"/>
  <c r="M172" i="1"/>
  <c r="K172" i="1"/>
  <c r="O171" i="1"/>
  <c r="M171" i="1"/>
  <c r="K171" i="1"/>
  <c r="O170" i="1"/>
  <c r="M170" i="1"/>
  <c r="K170" i="1"/>
  <c r="O169" i="1"/>
  <c r="M169" i="1"/>
  <c r="K169" i="1"/>
  <c r="O168" i="1"/>
  <c r="M168" i="1"/>
  <c r="K168" i="1"/>
  <c r="O167" i="1"/>
  <c r="M167" i="1"/>
  <c r="K167" i="1"/>
  <c r="O166" i="1"/>
  <c r="M166" i="1"/>
  <c r="K166" i="1"/>
  <c r="O165" i="1"/>
  <c r="M165" i="1"/>
  <c r="K165" i="1"/>
  <c r="O164" i="1"/>
  <c r="M164" i="1"/>
  <c r="K164" i="1"/>
  <c r="O163" i="1"/>
  <c r="M163" i="1"/>
  <c r="K163" i="1"/>
  <c r="O162" i="1"/>
  <c r="M162" i="1"/>
  <c r="K162" i="1"/>
  <c r="O161" i="1"/>
  <c r="M161" i="1"/>
  <c r="K161" i="1"/>
  <c r="O160" i="1"/>
  <c r="M160" i="1"/>
  <c r="K160" i="1"/>
  <c r="O159" i="1"/>
  <c r="M159" i="1"/>
  <c r="K159" i="1"/>
  <c r="O158" i="1"/>
  <c r="M158" i="1"/>
  <c r="K158" i="1"/>
  <c r="O157" i="1"/>
  <c r="M157" i="1"/>
  <c r="K157" i="1"/>
  <c r="O156" i="1"/>
  <c r="M156" i="1"/>
  <c r="K156" i="1"/>
  <c r="O155" i="1"/>
  <c r="M155" i="1"/>
  <c r="K155" i="1"/>
  <c r="O154" i="1"/>
  <c r="M154" i="1"/>
  <c r="K154" i="1"/>
  <c r="O153" i="1"/>
  <c r="M153" i="1"/>
  <c r="K153" i="1"/>
  <c r="O152" i="1"/>
  <c r="M152" i="1"/>
  <c r="K152" i="1"/>
  <c r="O151" i="1"/>
  <c r="M151" i="1"/>
  <c r="K151" i="1"/>
  <c r="O150" i="1"/>
  <c r="M150" i="1"/>
  <c r="K150" i="1"/>
  <c r="O149" i="1"/>
  <c r="M149" i="1"/>
  <c r="K149" i="1"/>
  <c r="O148" i="1"/>
  <c r="M148" i="1"/>
  <c r="K148" i="1"/>
  <c r="O147" i="1"/>
  <c r="M147" i="1"/>
  <c r="K147" i="1"/>
  <c r="O146" i="1"/>
  <c r="M146" i="1"/>
  <c r="K146" i="1"/>
  <c r="O145" i="1"/>
  <c r="M145" i="1"/>
  <c r="K145" i="1"/>
  <c r="O144" i="1"/>
  <c r="M144" i="1"/>
  <c r="K144" i="1"/>
  <c r="O143" i="1"/>
  <c r="M143" i="1"/>
  <c r="K143" i="1"/>
  <c r="O142" i="1"/>
  <c r="M142" i="1"/>
  <c r="K142" i="1"/>
  <c r="O141" i="1"/>
  <c r="M141" i="1"/>
  <c r="K141" i="1"/>
  <c r="O140" i="1"/>
  <c r="M140" i="1"/>
  <c r="K140" i="1"/>
  <c r="O139" i="1"/>
  <c r="M139" i="1"/>
  <c r="K139" i="1"/>
  <c r="O138" i="1"/>
  <c r="M138" i="1"/>
  <c r="K138" i="1"/>
  <c r="O137" i="1"/>
  <c r="M137" i="1"/>
  <c r="K137" i="1"/>
  <c r="O136" i="1"/>
  <c r="M136" i="1"/>
  <c r="K136" i="1"/>
  <c r="O135" i="1"/>
  <c r="M135" i="1"/>
  <c r="K135" i="1"/>
  <c r="O134" i="1"/>
  <c r="M134" i="1"/>
  <c r="K134" i="1"/>
  <c r="O133" i="1"/>
  <c r="M133" i="1"/>
  <c r="K133" i="1"/>
  <c r="O132" i="1"/>
  <c r="M132" i="1"/>
  <c r="K132" i="1"/>
  <c r="O131" i="1"/>
  <c r="M131" i="1"/>
  <c r="K131" i="1"/>
  <c r="O130" i="1"/>
  <c r="M130" i="1"/>
  <c r="K130" i="1"/>
  <c r="O129" i="1"/>
  <c r="M129" i="1"/>
  <c r="K129" i="1"/>
  <c r="O128" i="1"/>
  <c r="M128" i="1"/>
  <c r="K128" i="1"/>
  <c r="O127" i="1"/>
  <c r="M127" i="1"/>
  <c r="K127" i="1"/>
  <c r="O126" i="1"/>
  <c r="M126" i="1"/>
  <c r="K126" i="1"/>
  <c r="O125" i="1"/>
  <c r="M125" i="1"/>
  <c r="K125" i="1"/>
  <c r="O124" i="1"/>
  <c r="M124" i="1"/>
  <c r="K124" i="1"/>
  <c r="O123" i="1"/>
  <c r="M123" i="1"/>
  <c r="K123" i="1"/>
  <c r="O122" i="1"/>
  <c r="M122" i="1"/>
  <c r="K122" i="1"/>
  <c r="O121" i="1"/>
  <c r="M121" i="1"/>
  <c r="K121" i="1"/>
  <c r="O120" i="1"/>
  <c r="M120" i="1"/>
  <c r="K120" i="1"/>
  <c r="O119" i="1"/>
  <c r="M119" i="1"/>
  <c r="K119" i="1"/>
  <c r="O118" i="1"/>
  <c r="M118" i="1"/>
  <c r="K118" i="1"/>
  <c r="O117" i="1"/>
  <c r="M117" i="1"/>
  <c r="K117" i="1"/>
  <c r="O116" i="1"/>
  <c r="M116" i="1"/>
  <c r="K116" i="1"/>
  <c r="O115" i="1"/>
  <c r="M115" i="1"/>
  <c r="K115" i="1"/>
  <c r="O114" i="1"/>
  <c r="M114" i="1"/>
  <c r="K114" i="1"/>
  <c r="O113" i="1"/>
  <c r="M113" i="1"/>
  <c r="K113" i="1"/>
  <c r="O112" i="1"/>
  <c r="M112" i="1"/>
  <c r="K112" i="1"/>
  <c r="O111" i="1"/>
  <c r="M111" i="1"/>
  <c r="K111" i="1"/>
  <c r="O110" i="1"/>
  <c r="M110" i="1"/>
  <c r="K110" i="1"/>
  <c r="O109" i="1"/>
  <c r="M109" i="1"/>
  <c r="K109" i="1"/>
  <c r="O108" i="1"/>
  <c r="M108" i="1"/>
  <c r="K108" i="1"/>
  <c r="O107" i="1"/>
  <c r="M107" i="1"/>
  <c r="K107" i="1"/>
  <c r="O106" i="1"/>
  <c r="M106" i="1"/>
  <c r="K106" i="1"/>
  <c r="O105" i="1"/>
  <c r="M105" i="1"/>
  <c r="K105" i="1"/>
  <c r="O104" i="1"/>
  <c r="M104" i="1"/>
  <c r="K104" i="1"/>
  <c r="O103" i="1"/>
  <c r="M103" i="1"/>
  <c r="K103" i="1"/>
  <c r="O102" i="1"/>
  <c r="M102" i="1"/>
  <c r="K102" i="1"/>
  <c r="O101" i="1"/>
  <c r="M101" i="1"/>
  <c r="K101" i="1"/>
  <c r="O100" i="1"/>
  <c r="M100" i="1"/>
  <c r="K100" i="1"/>
  <c r="O99" i="1"/>
  <c r="M99" i="1"/>
  <c r="K99" i="1"/>
  <c r="O98" i="1"/>
  <c r="M98" i="1"/>
  <c r="K98" i="1"/>
  <c r="O97" i="1"/>
  <c r="M97" i="1"/>
  <c r="K97" i="1"/>
  <c r="O96" i="1"/>
  <c r="M96" i="1"/>
  <c r="K96" i="1"/>
  <c r="O95" i="1"/>
  <c r="M95" i="1"/>
  <c r="K95" i="1"/>
  <c r="O94" i="1"/>
  <c r="M94" i="1"/>
  <c r="K94" i="1"/>
  <c r="O93" i="1"/>
  <c r="M93" i="1"/>
  <c r="K93" i="1"/>
  <c r="O92" i="1"/>
  <c r="M92" i="1"/>
  <c r="K92" i="1"/>
  <c r="O91" i="1"/>
  <c r="M91" i="1"/>
  <c r="K91" i="1"/>
  <c r="O90" i="1"/>
  <c r="M90" i="1"/>
  <c r="K90" i="1"/>
  <c r="O89" i="1"/>
  <c r="M89" i="1"/>
  <c r="K89" i="1"/>
  <c r="O88" i="1"/>
  <c r="M88" i="1"/>
  <c r="K88" i="1"/>
  <c r="O87" i="1"/>
  <c r="M87" i="1"/>
  <c r="K87" i="1"/>
  <c r="O86" i="1"/>
  <c r="M86" i="1"/>
  <c r="K86" i="1"/>
  <c r="O85" i="1"/>
  <c r="M85" i="1"/>
  <c r="K85" i="1"/>
  <c r="O84" i="1"/>
  <c r="M84" i="1"/>
  <c r="K84" i="1"/>
  <c r="O83" i="1"/>
  <c r="M83" i="1"/>
  <c r="K83" i="1"/>
  <c r="O82" i="1"/>
  <c r="M82" i="1"/>
  <c r="K82" i="1"/>
  <c r="O81" i="1"/>
  <c r="M81" i="1"/>
  <c r="K81" i="1"/>
  <c r="O80" i="1"/>
  <c r="M80" i="1"/>
  <c r="K80" i="1"/>
  <c r="O79" i="1"/>
  <c r="M79" i="1"/>
  <c r="K79" i="1"/>
  <c r="O78" i="1"/>
  <c r="M78" i="1"/>
  <c r="K78" i="1"/>
  <c r="O77" i="1"/>
  <c r="M77" i="1"/>
  <c r="K77" i="1"/>
  <c r="O76" i="1"/>
  <c r="M76" i="1"/>
  <c r="K76" i="1"/>
  <c r="O75" i="1"/>
  <c r="M75" i="1"/>
  <c r="K75" i="1"/>
  <c r="O74" i="1"/>
  <c r="M74" i="1"/>
  <c r="K74" i="1"/>
  <c r="O73" i="1"/>
  <c r="M73" i="1"/>
  <c r="K73" i="1"/>
  <c r="O72" i="1"/>
  <c r="M72" i="1"/>
  <c r="K72" i="1"/>
  <c r="O71" i="1"/>
  <c r="M71" i="1"/>
  <c r="K71" i="1"/>
  <c r="O70" i="1"/>
  <c r="M70" i="1"/>
  <c r="K70" i="1"/>
  <c r="O69" i="1"/>
  <c r="M69" i="1"/>
  <c r="K69" i="1"/>
  <c r="O68" i="1"/>
  <c r="M68" i="1"/>
  <c r="K68" i="1"/>
  <c r="O67" i="1"/>
  <c r="M67" i="1"/>
  <c r="K67" i="1"/>
  <c r="O66" i="1"/>
  <c r="M66" i="1"/>
  <c r="K66" i="1"/>
  <c r="O65" i="1"/>
  <c r="M65" i="1"/>
  <c r="K65" i="1"/>
  <c r="O64" i="1"/>
  <c r="M64" i="1"/>
  <c r="K64" i="1"/>
  <c r="O63" i="1"/>
  <c r="M63" i="1"/>
  <c r="K63" i="1"/>
  <c r="O62" i="1"/>
  <c r="M62" i="1"/>
  <c r="K62" i="1"/>
  <c r="O61" i="1"/>
  <c r="M61" i="1"/>
  <c r="K61" i="1"/>
  <c r="O60" i="1"/>
  <c r="M60" i="1"/>
  <c r="K60" i="1"/>
  <c r="O59" i="1"/>
  <c r="M59" i="1"/>
  <c r="K59" i="1"/>
  <c r="O58" i="1"/>
  <c r="M58" i="1"/>
  <c r="K58" i="1"/>
  <c r="O57" i="1"/>
  <c r="M57" i="1"/>
  <c r="K57" i="1"/>
  <c r="O56" i="1"/>
  <c r="M56" i="1"/>
  <c r="K56" i="1"/>
  <c r="O55" i="1"/>
  <c r="M55" i="1"/>
  <c r="K55" i="1"/>
  <c r="O54" i="1"/>
  <c r="M54" i="1"/>
  <c r="K54" i="1"/>
  <c r="O53" i="1"/>
  <c r="M53" i="1"/>
  <c r="K53" i="1"/>
  <c r="O52" i="1"/>
  <c r="M52" i="1"/>
  <c r="K52" i="1"/>
  <c r="O51" i="1"/>
  <c r="M51" i="1"/>
  <c r="K51" i="1"/>
  <c r="O50" i="1"/>
  <c r="M50" i="1"/>
  <c r="K50" i="1"/>
  <c r="O49" i="1"/>
  <c r="M49" i="1"/>
  <c r="K49" i="1"/>
  <c r="O48" i="1"/>
  <c r="M48" i="1"/>
  <c r="K48" i="1"/>
  <c r="O47" i="1"/>
  <c r="M47" i="1"/>
  <c r="K47" i="1"/>
  <c r="O46" i="1"/>
  <c r="M46" i="1"/>
  <c r="K46" i="1"/>
  <c r="O45" i="1"/>
  <c r="M45" i="1"/>
  <c r="K45" i="1"/>
  <c r="O44" i="1"/>
  <c r="M44" i="1"/>
  <c r="K44" i="1"/>
  <c r="O43" i="1"/>
  <c r="M43" i="1"/>
  <c r="K43" i="1"/>
  <c r="O42" i="1"/>
  <c r="M42" i="1"/>
  <c r="K42" i="1"/>
  <c r="O41" i="1"/>
  <c r="M41" i="1"/>
  <c r="K41" i="1"/>
  <c r="O40" i="1"/>
  <c r="M40" i="1"/>
  <c r="K40" i="1"/>
  <c r="O39" i="1"/>
  <c r="M39" i="1"/>
  <c r="K39" i="1"/>
  <c r="O38" i="1"/>
  <c r="M38" i="1"/>
  <c r="K38" i="1"/>
  <c r="O37" i="1"/>
  <c r="M37" i="1"/>
  <c r="K37" i="1"/>
  <c r="O36" i="1"/>
  <c r="M36" i="1"/>
  <c r="K36" i="1"/>
  <c r="O35" i="1"/>
  <c r="M35" i="1"/>
  <c r="K35" i="1"/>
  <c r="O34" i="1"/>
  <c r="M34" i="1"/>
  <c r="K34" i="1"/>
  <c r="O33" i="1"/>
  <c r="M33" i="1"/>
  <c r="K33" i="1"/>
  <c r="O32" i="1"/>
  <c r="M32" i="1"/>
  <c r="K32" i="1"/>
  <c r="O31" i="1"/>
  <c r="M31" i="1"/>
  <c r="K31" i="1"/>
  <c r="O30" i="1"/>
  <c r="M30" i="1"/>
  <c r="K30" i="1"/>
  <c r="O29" i="1"/>
  <c r="M29" i="1"/>
  <c r="K29" i="1"/>
  <c r="O28" i="1"/>
  <c r="M28" i="1"/>
  <c r="K28" i="1"/>
  <c r="O27" i="1"/>
  <c r="M27" i="1"/>
  <c r="K27" i="1"/>
  <c r="O26" i="1"/>
  <c r="M26" i="1"/>
  <c r="K26" i="1"/>
  <c r="O25" i="1"/>
  <c r="M25" i="1"/>
  <c r="K25" i="1"/>
  <c r="O24" i="1"/>
  <c r="M24" i="1"/>
  <c r="K24" i="1"/>
  <c r="O23" i="1"/>
  <c r="M23" i="1"/>
  <c r="K23" i="1"/>
  <c r="O22" i="1"/>
  <c r="M22" i="1"/>
  <c r="K22" i="1"/>
  <c r="O21" i="1"/>
  <c r="M21" i="1"/>
  <c r="K21" i="1"/>
  <c r="O20" i="1"/>
  <c r="M20" i="1"/>
  <c r="K20" i="1"/>
  <c r="O19" i="1"/>
  <c r="M19" i="1"/>
  <c r="K19" i="1"/>
  <c r="O18" i="1"/>
  <c r="M18" i="1"/>
  <c r="K18" i="1"/>
  <c r="O17" i="1"/>
  <c r="M17" i="1"/>
  <c r="K17" i="1"/>
  <c r="O16" i="1"/>
  <c r="M16" i="1"/>
  <c r="K16" i="1"/>
  <c r="O15" i="1"/>
  <c r="M15" i="1"/>
  <c r="K15" i="1"/>
  <c r="O14" i="1"/>
  <c r="M14" i="1"/>
  <c r="K14" i="1"/>
  <c r="O13" i="1"/>
  <c r="M13" i="1"/>
  <c r="K13" i="1"/>
  <c r="O12" i="1"/>
  <c r="M12" i="1"/>
  <c r="K12" i="1"/>
  <c r="O11" i="1"/>
  <c r="M11" i="1"/>
  <c r="K11" i="1"/>
  <c r="O10" i="1"/>
  <c r="M10" i="1"/>
  <c r="K10" i="1"/>
  <c r="O9" i="1"/>
  <c r="M9" i="1"/>
  <c r="K9" i="1"/>
  <c r="O8" i="1"/>
  <c r="M8" i="1"/>
  <c r="K8" i="1"/>
  <c r="O7" i="1"/>
  <c r="M7" i="1"/>
  <c r="K7" i="1"/>
  <c r="O6" i="1"/>
  <c r="M6" i="1"/>
  <c r="K6" i="1"/>
  <c r="O5" i="1"/>
  <c r="M5" i="1"/>
  <c r="K5" i="1"/>
  <c r="O4" i="1"/>
  <c r="M4" i="1"/>
  <c r="K4" i="1"/>
  <c r="O3" i="1"/>
  <c r="M3" i="1"/>
  <c r="K3" i="1"/>
  <c r="O2" i="1"/>
  <c r="M2" i="1"/>
  <c r="K2" i="1"/>
  <c r="O613" i="1"/>
  <c r="M613" i="1"/>
  <c r="L613" i="1"/>
  <c r="K613" i="1"/>
</calcChain>
</file>

<file path=xl/sharedStrings.xml><?xml version="1.0" encoding="utf-8"?>
<sst xmlns="http://schemas.openxmlformats.org/spreadsheetml/2006/main" count="3452" uniqueCount="1562">
  <si>
    <t>nombres</t>
  </si>
  <si>
    <t>Division</t>
  </si>
  <si>
    <t>grupos</t>
  </si>
  <si>
    <t>Grupo</t>
  </si>
  <si>
    <t>Subgrupo</t>
  </si>
  <si>
    <t>Clase</t>
  </si>
  <si>
    <t>Subclase</t>
  </si>
  <si>
    <t>Articulo</t>
  </si>
  <si>
    <t>Subyacente</t>
  </si>
  <si>
    <t>NoSubyacente</t>
  </si>
  <si>
    <t>Transables</t>
  </si>
  <si>
    <t>NoTransables</t>
  </si>
  <si>
    <t>Bienes</t>
  </si>
  <si>
    <t>Servicios</t>
  </si>
  <si>
    <t>Alimentos</t>
  </si>
  <si>
    <t>Transporte</t>
  </si>
  <si>
    <t>Vivienda</t>
  </si>
  <si>
    <t>Resto</t>
  </si>
  <si>
    <t>Nuevos</t>
  </si>
  <si>
    <t>PonderacionIPC</t>
  </si>
  <si>
    <t>Indice General</t>
  </si>
  <si>
    <t>Inflacion</t>
  </si>
  <si>
    <t>Alimentos y Bebidas No Alcohólicas</t>
  </si>
  <si>
    <t>Pan y cereales</t>
  </si>
  <si>
    <t>Pan</t>
  </si>
  <si>
    <t>SubClase</t>
  </si>
  <si>
    <t>Pan sobado</t>
  </si>
  <si>
    <t>IPC_001</t>
  </si>
  <si>
    <t>Pan de agua</t>
  </si>
  <si>
    <t>IPC_002</t>
  </si>
  <si>
    <t>Pan Integral</t>
  </si>
  <si>
    <t>IPC_003</t>
  </si>
  <si>
    <t>Galletas y productos de panadería</t>
  </si>
  <si>
    <t>Galletas saladas</t>
  </si>
  <si>
    <t>IPC_004</t>
  </si>
  <si>
    <t>Bizcochos</t>
  </si>
  <si>
    <t>IPC_005</t>
  </si>
  <si>
    <t>Galletas dulces</t>
  </si>
  <si>
    <t>IPC_006</t>
  </si>
  <si>
    <t>Galletas de harina</t>
  </si>
  <si>
    <t>IPC_007</t>
  </si>
  <si>
    <t>Galletas de soda</t>
  </si>
  <si>
    <t>IPC_008</t>
  </si>
  <si>
    <t>Galletas integrales</t>
  </si>
  <si>
    <t>IPC_009</t>
  </si>
  <si>
    <t>Cereales y harinas</t>
  </si>
  <si>
    <t>Corn Flakes</t>
  </si>
  <si>
    <t>IPC_010</t>
  </si>
  <si>
    <t>Avena</t>
  </si>
  <si>
    <t>IPC_011</t>
  </si>
  <si>
    <t>Harina de maíz</t>
  </si>
  <si>
    <t>IPC_012</t>
  </si>
  <si>
    <t>Harina de trigo</t>
  </si>
  <si>
    <t>IPC_013</t>
  </si>
  <si>
    <t>Cereales envasados</t>
  </si>
  <si>
    <t>IPC_014</t>
  </si>
  <si>
    <t>Arroz</t>
  </si>
  <si>
    <t>IPC_015</t>
  </si>
  <si>
    <t>Pastas alimenticias</t>
  </si>
  <si>
    <t>Spaghetti</t>
  </si>
  <si>
    <t>IPC_016</t>
  </si>
  <si>
    <t>Fideos</t>
  </si>
  <si>
    <t>IPC_017</t>
  </si>
  <si>
    <t>Pastas cortas</t>
  </si>
  <si>
    <t>IPC_018</t>
  </si>
  <si>
    <t>Carnes</t>
  </si>
  <si>
    <t>Carne de res</t>
  </si>
  <si>
    <t>Carne corriente de res</t>
  </si>
  <si>
    <t>IPC_019</t>
  </si>
  <si>
    <t>Carne de bola</t>
  </si>
  <si>
    <t>IPC_020</t>
  </si>
  <si>
    <t>Carne molida de res</t>
  </si>
  <si>
    <t>IPC_021</t>
  </si>
  <si>
    <t>Carne de aves</t>
  </si>
  <si>
    <t>Pollo fresco</t>
  </si>
  <si>
    <t>IPC_022</t>
  </si>
  <si>
    <t>Carne de gallina</t>
  </si>
  <si>
    <t>IPC_023</t>
  </si>
  <si>
    <t>Pechuga de pollo</t>
  </si>
  <si>
    <t>IPC_024</t>
  </si>
  <si>
    <t>Carne de cerdo</t>
  </si>
  <si>
    <t>Carne corriente de cerdo</t>
  </si>
  <si>
    <t>IPC_025</t>
  </si>
  <si>
    <t>Chuleta de cerdo</t>
  </si>
  <si>
    <t>IPC_026</t>
  </si>
  <si>
    <t>Pierna de cerdo</t>
  </si>
  <si>
    <t>IPC_027</t>
  </si>
  <si>
    <t>Costillas de cerdo</t>
  </si>
  <si>
    <t>IPC_028</t>
  </si>
  <si>
    <t>Otras carnes</t>
  </si>
  <si>
    <t>Hígado de res</t>
  </si>
  <si>
    <t>IPC_029</t>
  </si>
  <si>
    <t>Embutidos y carnes preparadas</t>
  </si>
  <si>
    <t>Salami</t>
  </si>
  <si>
    <t>IPC_030</t>
  </si>
  <si>
    <t>Chuleta ahumada</t>
  </si>
  <si>
    <t>IPC_031</t>
  </si>
  <si>
    <t>Jamones</t>
  </si>
  <si>
    <t>IPC_032</t>
  </si>
  <si>
    <t>Longaniza</t>
  </si>
  <si>
    <t>IPC_033</t>
  </si>
  <si>
    <t>Salchichas</t>
  </si>
  <si>
    <t>IPC_034</t>
  </si>
  <si>
    <t>Costillita ahumada de cerdo</t>
  </si>
  <si>
    <t>IPC_035</t>
  </si>
  <si>
    <t>Jamoneta</t>
  </si>
  <si>
    <t>IPC_036</t>
  </si>
  <si>
    <t>Pescado</t>
  </si>
  <si>
    <t>Pescados y mariscos frescos, refrigerados y congelados</t>
  </si>
  <si>
    <t>Pescado fresco y refrigerado</t>
  </si>
  <si>
    <t>IPC_037</t>
  </si>
  <si>
    <t>Camarones</t>
  </si>
  <si>
    <t>IPC_038</t>
  </si>
  <si>
    <t>Tilapia</t>
  </si>
  <si>
    <t>IPC_039</t>
  </si>
  <si>
    <t>Pescados procesados y en conserva</t>
  </si>
  <si>
    <t>Bacalao</t>
  </si>
  <si>
    <t>IPC_040</t>
  </si>
  <si>
    <t>Sardinas</t>
  </si>
  <si>
    <t>IPC_041</t>
  </si>
  <si>
    <t>Arenque</t>
  </si>
  <si>
    <t>IPC_042</t>
  </si>
  <si>
    <t>Atún</t>
  </si>
  <si>
    <t>IPC_043</t>
  </si>
  <si>
    <t>Leche, queso y huevos</t>
  </si>
  <si>
    <t>Leche</t>
  </si>
  <si>
    <t>Leche en polvo</t>
  </si>
  <si>
    <t>IPC_044</t>
  </si>
  <si>
    <t>Leche evaporada</t>
  </si>
  <si>
    <t>IPC_045</t>
  </si>
  <si>
    <t>Leche líquida</t>
  </si>
  <si>
    <t>IPC_046</t>
  </si>
  <si>
    <t>Leche maternizada</t>
  </si>
  <si>
    <t>IPC_047</t>
  </si>
  <si>
    <t>Suplementos alimenticios</t>
  </si>
  <si>
    <t>IPC_048</t>
  </si>
  <si>
    <t>Leche de origen vegetal</t>
  </si>
  <si>
    <t>IPC_049</t>
  </si>
  <si>
    <t>Leche saborizada</t>
  </si>
  <si>
    <t>IPC_050</t>
  </si>
  <si>
    <t>Leche reforzada</t>
  </si>
  <si>
    <t>IPC_051</t>
  </si>
  <si>
    <t>Quesos</t>
  </si>
  <si>
    <t>Queso blanco</t>
  </si>
  <si>
    <t>IPC_052</t>
  </si>
  <si>
    <t>Queso cheddar amarillo</t>
  </si>
  <si>
    <t>IPC_053</t>
  </si>
  <si>
    <t>Queso holandés</t>
  </si>
  <si>
    <t>IPC_054</t>
  </si>
  <si>
    <t>Otros Quesos (Mozarella, Danes)</t>
  </si>
  <si>
    <t>IPC_055</t>
  </si>
  <si>
    <t>Queso de hoja</t>
  </si>
  <si>
    <t>IPC_056</t>
  </si>
  <si>
    <t>Yogurt y otros productos lácteos</t>
  </si>
  <si>
    <t>Yogurt</t>
  </si>
  <si>
    <t>IPC_057</t>
  </si>
  <si>
    <t>Huevos</t>
  </si>
  <si>
    <t>IPC_058</t>
  </si>
  <si>
    <t>Aceites y grasas</t>
  </si>
  <si>
    <t>Aceites</t>
  </si>
  <si>
    <t>Aceite de soya</t>
  </si>
  <si>
    <t>IPC_059</t>
  </si>
  <si>
    <t>Aceite puro de origen vegetal</t>
  </si>
  <si>
    <t>IPC_060</t>
  </si>
  <si>
    <t>Margarina y mantequilla</t>
  </si>
  <si>
    <t>Margarina</t>
  </si>
  <si>
    <t>IPC_061</t>
  </si>
  <si>
    <t>Frutas</t>
  </si>
  <si>
    <t>Frutas frescas</t>
  </si>
  <si>
    <t>Plátano verde</t>
  </si>
  <si>
    <t>IPC_062</t>
  </si>
  <si>
    <t>Guineo verde</t>
  </si>
  <si>
    <t>IPC_063</t>
  </si>
  <si>
    <t>Aguacate</t>
  </si>
  <si>
    <t>IPC_064</t>
  </si>
  <si>
    <t>Plátano maduro</t>
  </si>
  <si>
    <t>IPC_065</t>
  </si>
  <si>
    <t>Lechoza</t>
  </si>
  <si>
    <t>IPC_066</t>
  </si>
  <si>
    <t>Naranjas</t>
  </si>
  <si>
    <t>IPC_067</t>
  </si>
  <si>
    <t>Limón agrio</t>
  </si>
  <si>
    <t>IPC_068</t>
  </si>
  <si>
    <t>Guineo maduro</t>
  </si>
  <si>
    <t>IPC_069</t>
  </si>
  <si>
    <t>Piña</t>
  </si>
  <si>
    <t>IPC_070</t>
  </si>
  <si>
    <t>Manzanas</t>
  </si>
  <si>
    <t>IPC_071</t>
  </si>
  <si>
    <t>Chinola</t>
  </si>
  <si>
    <t>IPC_072</t>
  </si>
  <si>
    <t>Uvas</t>
  </si>
  <si>
    <t>IPC_073</t>
  </si>
  <si>
    <t>Frutas secas y procesadas</t>
  </si>
  <si>
    <t>Cocos secos</t>
  </si>
  <si>
    <t>IPC_074</t>
  </si>
  <si>
    <t>Legumbres-Hortalizas</t>
  </si>
  <si>
    <t>Leguminosas</t>
  </si>
  <si>
    <t>Habichuelas pintas secas</t>
  </si>
  <si>
    <t>IPC_075</t>
  </si>
  <si>
    <t>Habichuelas rojas secas</t>
  </si>
  <si>
    <t>IPC_076</t>
  </si>
  <si>
    <t>Guandules verdes</t>
  </si>
  <si>
    <t>IPC_077</t>
  </si>
  <si>
    <t>Habichuelas negras secas</t>
  </si>
  <si>
    <t>IPC_078</t>
  </si>
  <si>
    <t>Tubérculos</t>
  </si>
  <si>
    <t>Yuca</t>
  </si>
  <si>
    <t>IPC_079</t>
  </si>
  <si>
    <t>Papa</t>
  </si>
  <si>
    <t>IPC_080</t>
  </si>
  <si>
    <t>Ñame</t>
  </si>
  <si>
    <t>IPC_081</t>
  </si>
  <si>
    <t>Yautía</t>
  </si>
  <si>
    <t>IPC_082</t>
  </si>
  <si>
    <t>Batata</t>
  </si>
  <si>
    <t>IPC_083</t>
  </si>
  <si>
    <t>Hortalizas frescas</t>
  </si>
  <si>
    <t>Cebolla</t>
  </si>
  <si>
    <t>IPC_084</t>
  </si>
  <si>
    <t>Ajo</t>
  </si>
  <si>
    <t>IPC_085</t>
  </si>
  <si>
    <t>Ajíes</t>
  </si>
  <si>
    <t>IPC_086</t>
  </si>
  <si>
    <t>Tomates</t>
  </si>
  <si>
    <t>IPC_087</t>
  </si>
  <si>
    <t>Berenjena</t>
  </si>
  <si>
    <t>IPC_088</t>
  </si>
  <si>
    <t>Auyama</t>
  </si>
  <si>
    <t>IPC_089</t>
  </si>
  <si>
    <t>Lechuga</t>
  </si>
  <si>
    <t>IPC_090</t>
  </si>
  <si>
    <t>Repollo</t>
  </si>
  <si>
    <t>IPC_091</t>
  </si>
  <si>
    <t>Zanahoria</t>
  </si>
  <si>
    <t>IPC_092</t>
  </si>
  <si>
    <t>Tayota</t>
  </si>
  <si>
    <t>IPC_093</t>
  </si>
  <si>
    <t>Apio</t>
  </si>
  <si>
    <t>IPC_094</t>
  </si>
  <si>
    <t>Pepino</t>
  </si>
  <si>
    <t>IPC_095</t>
  </si>
  <si>
    <t>Brócoli y Coliflor</t>
  </si>
  <si>
    <t>IPC_096</t>
  </si>
  <si>
    <t>Productos vegetales en conserva</t>
  </si>
  <si>
    <t>Guandules verdes en lata</t>
  </si>
  <si>
    <t>IPC_097</t>
  </si>
  <si>
    <t>Maíz en lata</t>
  </si>
  <si>
    <t>IPC_098</t>
  </si>
  <si>
    <t>Derivados de tubérculos</t>
  </si>
  <si>
    <t>Papitas fritas snacks</t>
  </si>
  <si>
    <t>IPC_099</t>
  </si>
  <si>
    <t>Snacks y picaderas de todo tipo (excepto papitas fritas)</t>
  </si>
  <si>
    <t>IPC_100</t>
  </si>
  <si>
    <t>Azúcar,  chocolate y dulces de azúcar</t>
  </si>
  <si>
    <t>Azúcar</t>
  </si>
  <si>
    <t>Azúcar morena</t>
  </si>
  <si>
    <t>IPC_101</t>
  </si>
  <si>
    <t>Azúcar blanca refinada</t>
  </si>
  <si>
    <t>IPC_102</t>
  </si>
  <si>
    <t>Dulces, chocolates y golosinas</t>
  </si>
  <si>
    <t>Chocolates dulces</t>
  </si>
  <si>
    <t>IPC_103</t>
  </si>
  <si>
    <t>Miel</t>
  </si>
  <si>
    <t>IPC_104</t>
  </si>
  <si>
    <t>Mentas y Chiclets</t>
  </si>
  <si>
    <t>IPC_105</t>
  </si>
  <si>
    <t>Helados</t>
  </si>
  <si>
    <t>IPC_106</t>
  </si>
  <si>
    <t>Hielo</t>
  </si>
  <si>
    <t>IPC_107</t>
  </si>
  <si>
    <t>Otros productos alimenticios</t>
  </si>
  <si>
    <t>Sal</t>
  </si>
  <si>
    <t>IPC_108</t>
  </si>
  <si>
    <t>Condimentos, especies y aderezos</t>
  </si>
  <si>
    <t>Pasta de tomate</t>
  </si>
  <si>
    <t>IPC_109</t>
  </si>
  <si>
    <t>Verduras</t>
  </si>
  <si>
    <t>IPC_110</t>
  </si>
  <si>
    <t>Sazón en polvo</t>
  </si>
  <si>
    <t>IPC_111</t>
  </si>
  <si>
    <t>Sazón líquido</t>
  </si>
  <si>
    <t>IPC_112</t>
  </si>
  <si>
    <t>Mayonesa</t>
  </si>
  <si>
    <t>IPC_113</t>
  </si>
  <si>
    <t>Vinagre</t>
  </si>
  <si>
    <t>IPC_114</t>
  </si>
  <si>
    <t>Canela</t>
  </si>
  <si>
    <t>IPC_115</t>
  </si>
  <si>
    <t>Orégano</t>
  </si>
  <si>
    <t>IPC_116</t>
  </si>
  <si>
    <t>Catchup</t>
  </si>
  <si>
    <t>IPC_117</t>
  </si>
  <si>
    <t>Caldo de pollo</t>
  </si>
  <si>
    <t>IPC_118</t>
  </si>
  <si>
    <t>Compota</t>
  </si>
  <si>
    <t>IPC_119</t>
  </si>
  <si>
    <t>Sopa instantánea (sopa china)</t>
  </si>
  <si>
    <t>IPC_120</t>
  </si>
  <si>
    <t>Bebidas No Alcohólicas</t>
  </si>
  <si>
    <t>Café y cacao</t>
  </si>
  <si>
    <t>Café</t>
  </si>
  <si>
    <t>IPC_121</t>
  </si>
  <si>
    <t>Chocolates para bebidas</t>
  </si>
  <si>
    <t>Chocolate en barra</t>
  </si>
  <si>
    <t>IPC_122</t>
  </si>
  <si>
    <t>Chocolate en polvo</t>
  </si>
  <si>
    <t>IPC_123</t>
  </si>
  <si>
    <t>Aguas minerales, refrescos y jugos de frutas</t>
  </si>
  <si>
    <t>Refrescos</t>
  </si>
  <si>
    <t>IPC_124</t>
  </si>
  <si>
    <t>Bebidas hidratantes</t>
  </si>
  <si>
    <t>IPC_125</t>
  </si>
  <si>
    <t>Jugos y aguas minerales</t>
  </si>
  <si>
    <t>Agua purificada</t>
  </si>
  <si>
    <t>IPC_126</t>
  </si>
  <si>
    <t>Jugos envasados</t>
  </si>
  <si>
    <t>IPC_127</t>
  </si>
  <si>
    <t>Jugos en polvo</t>
  </si>
  <si>
    <t>IPC_128</t>
  </si>
  <si>
    <t>Jugo de naranja pasteurizado</t>
  </si>
  <si>
    <t>IPC_129</t>
  </si>
  <si>
    <t>Bebidas Alcohólicas y Tabaco</t>
  </si>
  <si>
    <t>Bebidas Alcohólicas</t>
  </si>
  <si>
    <t>Bebidas destiladas</t>
  </si>
  <si>
    <t>Whisky</t>
  </si>
  <si>
    <t>IPC_130</t>
  </si>
  <si>
    <t>Ron añejo</t>
  </si>
  <si>
    <t>IPC_131</t>
  </si>
  <si>
    <t>Ron blanco</t>
  </si>
  <si>
    <t>IPC_132</t>
  </si>
  <si>
    <t>Ron dorado</t>
  </si>
  <si>
    <t>IPC_133</t>
  </si>
  <si>
    <t>Vino</t>
  </si>
  <si>
    <t>Vinos</t>
  </si>
  <si>
    <t>IPC_134</t>
  </si>
  <si>
    <t>Cerveza</t>
  </si>
  <si>
    <t>Cerveza envasada</t>
  </si>
  <si>
    <t>IPC_135</t>
  </si>
  <si>
    <t>Malta</t>
  </si>
  <si>
    <t>IPC_136</t>
  </si>
  <si>
    <t>Tabaco</t>
  </si>
  <si>
    <t>Cigarrillos y tabaco</t>
  </si>
  <si>
    <t>Cigarrillos</t>
  </si>
  <si>
    <t>IPC_137</t>
  </si>
  <si>
    <t>Prendas de Vestir y Calzado</t>
  </si>
  <si>
    <t>Prendas de Vestir</t>
  </si>
  <si>
    <t>Prendas de vestir</t>
  </si>
  <si>
    <t>Prendas de vestir para hombre y niño</t>
  </si>
  <si>
    <t>Pantalón sport de hombre</t>
  </si>
  <si>
    <t>IPC_138</t>
  </si>
  <si>
    <t>Poloshirt para hombre</t>
  </si>
  <si>
    <t>IPC_139</t>
  </si>
  <si>
    <t>Camisa de vestir para hombre</t>
  </si>
  <si>
    <t>IPC_140</t>
  </si>
  <si>
    <t>Pantalón de vestir de hombre</t>
  </si>
  <si>
    <t>IPC_141</t>
  </si>
  <si>
    <t>Pantaloncillos</t>
  </si>
  <si>
    <t>IPC_142</t>
  </si>
  <si>
    <t>Camiseta interior para hombre</t>
  </si>
  <si>
    <t>IPC_143</t>
  </si>
  <si>
    <t>Prendas de vestir para mujer</t>
  </si>
  <si>
    <t>Blusa de vestir para mujer</t>
  </si>
  <si>
    <t>IPC_144</t>
  </si>
  <si>
    <t>Blusa sport de mujer</t>
  </si>
  <si>
    <t>IPC_145</t>
  </si>
  <si>
    <t>Pantalón sport de mujer</t>
  </si>
  <si>
    <t>IPC_146</t>
  </si>
  <si>
    <t>Panties</t>
  </si>
  <si>
    <t>IPC_147</t>
  </si>
  <si>
    <t>Trajes para mujer</t>
  </si>
  <si>
    <t>IPC_148</t>
  </si>
  <si>
    <t>Brassiers</t>
  </si>
  <si>
    <t>IPC_149</t>
  </si>
  <si>
    <t>Pantalón de vestir de mujer</t>
  </si>
  <si>
    <t>IPC_150</t>
  </si>
  <si>
    <t>Falda para mujer</t>
  </si>
  <si>
    <t>IPC_151</t>
  </si>
  <si>
    <t>Prendas de vestir de niños y niñas</t>
  </si>
  <si>
    <t>Conjunto para bebé</t>
  </si>
  <si>
    <t>IPC_152</t>
  </si>
  <si>
    <t>Pantalón de jeans para niños</t>
  </si>
  <si>
    <t>IPC_153</t>
  </si>
  <si>
    <t>T-shirt para niño</t>
  </si>
  <si>
    <t>IPC_154</t>
  </si>
  <si>
    <t>Conjunto para niña</t>
  </si>
  <si>
    <t>IPC_155</t>
  </si>
  <si>
    <t>Uniforme escolar</t>
  </si>
  <si>
    <t>IPC_156</t>
  </si>
  <si>
    <t>T-shirt para niña</t>
  </si>
  <si>
    <t>IPC_157</t>
  </si>
  <si>
    <t>Otros artículos y  accesorios de vestir</t>
  </si>
  <si>
    <t>Accesorios de vestir</t>
  </si>
  <si>
    <t>Correa de cuero</t>
  </si>
  <si>
    <t>IPC_158</t>
  </si>
  <si>
    <t>Gorra deportiva para hombre</t>
  </si>
  <si>
    <t>IPC_159</t>
  </si>
  <si>
    <t>Limpieza, reparación y alquiler de prendas de vestir</t>
  </si>
  <si>
    <t>Confección y reparación de ropa</t>
  </si>
  <si>
    <t>Limpieza de ropa en lavandería</t>
  </si>
  <si>
    <t>IPC_160</t>
  </si>
  <si>
    <t>Calzado</t>
  </si>
  <si>
    <t>Zapatos y otros calzados</t>
  </si>
  <si>
    <t>Zapatos para hombre</t>
  </si>
  <si>
    <t>Tenis para hombres</t>
  </si>
  <si>
    <t>IPC_161</t>
  </si>
  <si>
    <t>IPC_162</t>
  </si>
  <si>
    <t>Chancleta o calipso para hombre</t>
  </si>
  <si>
    <t>IPC_163</t>
  </si>
  <si>
    <t>Zapatos para mujer</t>
  </si>
  <si>
    <t>Zapatillas para mujer</t>
  </si>
  <si>
    <t>IPC_164</t>
  </si>
  <si>
    <t>IPC_165</t>
  </si>
  <si>
    <t>Tenis para mujer</t>
  </si>
  <si>
    <t>IPC_166</t>
  </si>
  <si>
    <t>Chancleta o calipso para mujer</t>
  </si>
  <si>
    <t>IPC_167</t>
  </si>
  <si>
    <t>Zapatos para niños y niñas</t>
  </si>
  <si>
    <t>Tenis para niños</t>
  </si>
  <si>
    <t>IPC_168</t>
  </si>
  <si>
    <t>Zapatos para niños</t>
  </si>
  <si>
    <t>IPC_169</t>
  </si>
  <si>
    <t>Alquileres Efectivos de Alojamiento</t>
  </si>
  <si>
    <t>Alquileres efectivos</t>
  </si>
  <si>
    <t>Alquiler de la vivienda</t>
  </si>
  <si>
    <t>Alquiler de vivienda</t>
  </si>
  <si>
    <t>IPC_170</t>
  </si>
  <si>
    <t>Conservación y Reparación de la Vivienda</t>
  </si>
  <si>
    <t>Materiales para la conservación y reparación de la vivienda</t>
  </si>
  <si>
    <t>Materiales para la conservación de la vivienda</t>
  </si>
  <si>
    <t>Pinturas</t>
  </si>
  <si>
    <t>IPC_171</t>
  </si>
  <si>
    <t>Servicios para la conservación y la reparación de la vivienda</t>
  </si>
  <si>
    <t>Servicios para la conservación de la vivienda</t>
  </si>
  <si>
    <t>Reparación de puertas</t>
  </si>
  <si>
    <t>IPC_172</t>
  </si>
  <si>
    <t>Servicios de mantenimiento de la vivienda</t>
  </si>
  <si>
    <t>IPC_173</t>
  </si>
  <si>
    <t>Suministro de Agua y Servicios Relacionados con la Vivienda</t>
  </si>
  <si>
    <t>Suministro de agua</t>
  </si>
  <si>
    <t>Servicio de agua</t>
  </si>
  <si>
    <t>IPC_174</t>
  </si>
  <si>
    <t>Agua servida por camiones</t>
  </si>
  <si>
    <t>IPC_175</t>
  </si>
  <si>
    <t>Recogida de basura</t>
  </si>
  <si>
    <t>Servicio de recogida de basura</t>
  </si>
  <si>
    <t>IPC_176</t>
  </si>
  <si>
    <t>Otros servicios relacionados con la vivienda</t>
  </si>
  <si>
    <t>Gastos comunes en copropiedad</t>
  </si>
  <si>
    <t>IPC_177</t>
  </si>
  <si>
    <t>Electricidad, Gas y Otros Combustibles</t>
  </si>
  <si>
    <t>Electricidad</t>
  </si>
  <si>
    <t>Servicio de energía eléctrica</t>
  </si>
  <si>
    <t>IPC_178</t>
  </si>
  <si>
    <t>Gas</t>
  </si>
  <si>
    <t>Gas licuado de uso doméstico</t>
  </si>
  <si>
    <t>IPC_179</t>
  </si>
  <si>
    <t>Combustibles líquidos</t>
  </si>
  <si>
    <t>Otros combustibles</t>
  </si>
  <si>
    <t>Gas kerosene</t>
  </si>
  <si>
    <t>IPC_180</t>
  </si>
  <si>
    <t>Trementina</t>
  </si>
  <si>
    <t>IPC_181</t>
  </si>
  <si>
    <t>Combustibles sólidos</t>
  </si>
  <si>
    <t>Carbón vegetal</t>
  </si>
  <si>
    <t>IPC_182</t>
  </si>
  <si>
    <t>Muebles y Artículos para el Hogar</t>
  </si>
  <si>
    <t>Muebles y Accesorios</t>
  </si>
  <si>
    <t>Muebles y accesorios</t>
  </si>
  <si>
    <t>Juego de sala</t>
  </si>
  <si>
    <t>IPC_183</t>
  </si>
  <si>
    <t>Camas</t>
  </si>
  <si>
    <t>IPC_184</t>
  </si>
  <si>
    <t>Juego de comedor</t>
  </si>
  <si>
    <t>IPC_185</t>
  </si>
  <si>
    <t>Colchón</t>
  </si>
  <si>
    <t>IPC_186</t>
  </si>
  <si>
    <t>Cuna</t>
  </si>
  <si>
    <t>IPC_187</t>
  </si>
  <si>
    <t>Reparación de muebles</t>
  </si>
  <si>
    <t>IPC_188</t>
  </si>
  <si>
    <t>Productos Textiles para el Hogar</t>
  </si>
  <si>
    <t>Productos textiles para el hogar</t>
  </si>
  <si>
    <t>Sábanas</t>
  </si>
  <si>
    <t>IPC_189</t>
  </si>
  <si>
    <t>Mosquiteros</t>
  </si>
  <si>
    <t>IPC_190</t>
  </si>
  <si>
    <t>Toallas</t>
  </si>
  <si>
    <t>IPC_191</t>
  </si>
  <si>
    <t>Colchas ó cubrecamas</t>
  </si>
  <si>
    <t>IPC_192</t>
  </si>
  <si>
    <t>Cortinas de tela</t>
  </si>
  <si>
    <t>IPC_193</t>
  </si>
  <si>
    <t>Almohadas</t>
  </si>
  <si>
    <t>IPC_194</t>
  </si>
  <si>
    <t>Artefactos para el Hogar</t>
  </si>
  <si>
    <t>Artefactos para el hogar grandes, eléctricos o no</t>
  </si>
  <si>
    <t>Artefactos grandes para el hogar</t>
  </si>
  <si>
    <t>Nevera</t>
  </si>
  <si>
    <t>IPC_195</t>
  </si>
  <si>
    <t>Lavadora</t>
  </si>
  <si>
    <t>IPC_196</t>
  </si>
  <si>
    <t>Estufa de gas</t>
  </si>
  <si>
    <t>IPC_197</t>
  </si>
  <si>
    <t>Equipos de climatización</t>
  </si>
  <si>
    <t>IPC_198</t>
  </si>
  <si>
    <t>Artefactos eléctricos para el hogar pequeños</t>
  </si>
  <si>
    <t>Artefactos pequeños para el hogar</t>
  </si>
  <si>
    <t>Abanicos portátiles</t>
  </si>
  <si>
    <t>IPC_199</t>
  </si>
  <si>
    <t>Licuadora</t>
  </si>
  <si>
    <t>IPC_200</t>
  </si>
  <si>
    <t>Artículos de Vidrio y Utensilios para el  Hogar</t>
  </si>
  <si>
    <t>Artículos de vidrio y utensilios no eléctricoss</t>
  </si>
  <si>
    <t>Artículos y utensilios para el hogar</t>
  </si>
  <si>
    <t>Cuchillo</t>
  </si>
  <si>
    <t>IPC_201</t>
  </si>
  <si>
    <t>Utensilios para cocina</t>
  </si>
  <si>
    <t>IPC_202</t>
  </si>
  <si>
    <t>Vajilla para el hogar</t>
  </si>
  <si>
    <t>IPC_203</t>
  </si>
  <si>
    <t>Herramientas y Equipos para el Hogar</t>
  </si>
  <si>
    <t>Herramientas pequeñas y accesorios diversos</t>
  </si>
  <si>
    <t>Herramientas y artefactos pequeños para el hogar</t>
  </si>
  <si>
    <t>Bombillas</t>
  </si>
  <si>
    <t>IPC_204</t>
  </si>
  <si>
    <t>Cerradura de puerta para el hogar</t>
  </si>
  <si>
    <t>IPC_205</t>
  </si>
  <si>
    <t>Bienes y Servicios para Conservación del Hogar</t>
  </si>
  <si>
    <t>Bienes para el hogar no duraderos</t>
  </si>
  <si>
    <t>Productos de limpieza y artículos para el hogar</t>
  </si>
  <si>
    <t>Detergentes</t>
  </si>
  <si>
    <t>IPC_206</t>
  </si>
  <si>
    <t>Cloro</t>
  </si>
  <si>
    <t>IPC_207</t>
  </si>
  <si>
    <t>Jabones</t>
  </si>
  <si>
    <t>IPC_208</t>
  </si>
  <si>
    <t>Velas</t>
  </si>
  <si>
    <t>IPC_209</t>
  </si>
  <si>
    <t>Desinfectantes</t>
  </si>
  <si>
    <t>IPC_210</t>
  </si>
  <si>
    <t>Suavizante de ropa</t>
  </si>
  <si>
    <t>IPC_211</t>
  </si>
  <si>
    <t>Fósforos</t>
  </si>
  <si>
    <t>IPC_212</t>
  </si>
  <si>
    <t>Brillo verde</t>
  </si>
  <si>
    <t>IPC_213</t>
  </si>
  <si>
    <t>Ambientadores</t>
  </si>
  <si>
    <t>IPC_214</t>
  </si>
  <si>
    <t>Escobas y suaper</t>
  </si>
  <si>
    <t>IPC_215</t>
  </si>
  <si>
    <t>Servicios domésticos y  para el hogar</t>
  </si>
  <si>
    <t>Servicio doméstico</t>
  </si>
  <si>
    <t>IPC_216</t>
  </si>
  <si>
    <t>Salud</t>
  </si>
  <si>
    <t>Productos, Artefactos y Equipos Médicos</t>
  </si>
  <si>
    <t>Productos Farmacéuticos</t>
  </si>
  <si>
    <t>Productos farmacéuticos</t>
  </si>
  <si>
    <t>Antihipertensivos</t>
  </si>
  <si>
    <t>IPC_217</t>
  </si>
  <si>
    <t>Antibióticos</t>
  </si>
  <si>
    <t>IPC_218</t>
  </si>
  <si>
    <t>Antigripales</t>
  </si>
  <si>
    <t>IPC_219</t>
  </si>
  <si>
    <t>Analgésicos</t>
  </si>
  <si>
    <t>IPC_220</t>
  </si>
  <si>
    <t>Vitaminas</t>
  </si>
  <si>
    <t>IPC_221</t>
  </si>
  <si>
    <t>Antiinflamatorios</t>
  </si>
  <si>
    <t>IPC_222</t>
  </si>
  <si>
    <t>Insulina</t>
  </si>
  <si>
    <t>IPC_223</t>
  </si>
  <si>
    <t>Antiácidos</t>
  </si>
  <si>
    <t>IPC_224</t>
  </si>
  <si>
    <t>Antidiarréicos y antiespasmódicos</t>
  </si>
  <si>
    <t>IPC_225</t>
  </si>
  <si>
    <t>Antiparasitarios</t>
  </si>
  <si>
    <t>IPC_226</t>
  </si>
  <si>
    <t>Complejo B</t>
  </si>
  <si>
    <t>IPC_227</t>
  </si>
  <si>
    <t>Gotas oftálmologicas</t>
  </si>
  <si>
    <t>IPC_228</t>
  </si>
  <si>
    <t>Antialérgicos y Antihistamínicos</t>
  </si>
  <si>
    <t>IPC_229</t>
  </si>
  <si>
    <t>Medicamento para las Tiroides</t>
  </si>
  <si>
    <t>IPC_230</t>
  </si>
  <si>
    <t>Medicamento para la diabetes (no insulina)</t>
  </si>
  <si>
    <t>IPC_231</t>
  </si>
  <si>
    <t>Antiulceroso</t>
  </si>
  <si>
    <t>IPC_232</t>
  </si>
  <si>
    <t>Medicamentos para el sistema nervioso</t>
  </si>
  <si>
    <t>IPC_233</t>
  </si>
  <si>
    <t>Medicamento para Osteoporosis</t>
  </si>
  <si>
    <t>IPC_234</t>
  </si>
  <si>
    <t>Antitusivo y broncodilatador</t>
  </si>
  <si>
    <t>IPC_235</t>
  </si>
  <si>
    <t>Anticonceptivo oral</t>
  </si>
  <si>
    <t>IPC_236</t>
  </si>
  <si>
    <t>Artefactos y equipo terapéuticos</t>
  </si>
  <si>
    <t>Anteojos</t>
  </si>
  <si>
    <t>IPC_237</t>
  </si>
  <si>
    <t>Servicios para Pacientes Externos</t>
  </si>
  <si>
    <t>Servicios médicos</t>
  </si>
  <si>
    <t>Consulta médico ginecólogo</t>
  </si>
  <si>
    <t>IPC_238</t>
  </si>
  <si>
    <t>Consulta médico general</t>
  </si>
  <si>
    <t>IPC_239</t>
  </si>
  <si>
    <t>Consulta médico cardiólogo</t>
  </si>
  <si>
    <t>IPC_240</t>
  </si>
  <si>
    <t>Consulta médico pediatra</t>
  </si>
  <si>
    <t>IPC_241</t>
  </si>
  <si>
    <t>Servicios dentales</t>
  </si>
  <si>
    <t>Consulta odontológica</t>
  </si>
  <si>
    <t>IPC_242</t>
  </si>
  <si>
    <t>Servicio de ortodoncia</t>
  </si>
  <si>
    <t>IPC_243</t>
  </si>
  <si>
    <t>Servicios paramédicos</t>
  </si>
  <si>
    <t>Análisis de laboratorio</t>
  </si>
  <si>
    <t>IPC_244</t>
  </si>
  <si>
    <t>Estudios de sonido e imagen</t>
  </si>
  <si>
    <t>Análisis de imágenes</t>
  </si>
  <si>
    <t>IPC_245</t>
  </si>
  <si>
    <t>Pruebas de imágenes especializadas</t>
  </si>
  <si>
    <t>IPC_246</t>
  </si>
  <si>
    <t>Servicios de Hospital</t>
  </si>
  <si>
    <t>Servicios de hospital</t>
  </si>
  <si>
    <t>Internamiento</t>
  </si>
  <si>
    <t>IPC_247</t>
  </si>
  <si>
    <t>Costo de cirugía</t>
  </si>
  <si>
    <t>IPC_248</t>
  </si>
  <si>
    <t>Adquisición de Vehículos</t>
  </si>
  <si>
    <t>Vehículos a motor</t>
  </si>
  <si>
    <t>Adquisición de vehículos</t>
  </si>
  <si>
    <t>Automóviles</t>
  </si>
  <si>
    <t>IPC_249</t>
  </si>
  <si>
    <t>Motocicletas</t>
  </si>
  <si>
    <t>Adquisición de motocicletas</t>
  </si>
  <si>
    <t>IPC_250</t>
  </si>
  <si>
    <t>Funcionamiento de Equipo de Transporte</t>
  </si>
  <si>
    <t>Piezas de repuestos y accesorios para equipo de transporte</t>
  </si>
  <si>
    <t>Repuestos y accesorios para vehículos</t>
  </si>
  <si>
    <t>Gomas</t>
  </si>
  <si>
    <t>IPC_251</t>
  </si>
  <si>
    <t>Baterías de vehículo</t>
  </si>
  <si>
    <t>IPC_252</t>
  </si>
  <si>
    <t>Filtros de vehículo</t>
  </si>
  <si>
    <t>IPC_253</t>
  </si>
  <si>
    <t>Bujías</t>
  </si>
  <si>
    <t>IPC_254</t>
  </si>
  <si>
    <t>Banda de frenos</t>
  </si>
  <si>
    <t>IPC_255</t>
  </si>
  <si>
    <t>Combustibles y lubricantes para equipo de transporte</t>
  </si>
  <si>
    <t>Combustibles y lubricantes para vehículos</t>
  </si>
  <si>
    <t>Gasolina regular</t>
  </si>
  <si>
    <t>IPC_256</t>
  </si>
  <si>
    <t>Gasolina premium</t>
  </si>
  <si>
    <t>IPC_257</t>
  </si>
  <si>
    <t>Gas licuado para vehículos (GLP)</t>
  </si>
  <si>
    <t>IPC_258</t>
  </si>
  <si>
    <t>Gasoil</t>
  </si>
  <si>
    <t>IPC_259</t>
  </si>
  <si>
    <t>Lubricantes y aceites para vehículos</t>
  </si>
  <si>
    <t>IPC_260</t>
  </si>
  <si>
    <t>Conservación y reparación de equipo de transporte</t>
  </si>
  <si>
    <t>Conservación y reparación de vehículos</t>
  </si>
  <si>
    <t>Servicio de reparación de vehículos</t>
  </si>
  <si>
    <t>IPC_261</t>
  </si>
  <si>
    <t>Lavado del vehículo</t>
  </si>
  <si>
    <t>IPC_262</t>
  </si>
  <si>
    <t>Otros servicios relativos al equipo de transporte</t>
  </si>
  <si>
    <t>Peajes</t>
  </si>
  <si>
    <t>IPC_263</t>
  </si>
  <si>
    <t>Licencia de conducir (renovación)</t>
  </si>
  <si>
    <t>IPC_264</t>
  </si>
  <si>
    <t>Servicios de Transporte</t>
  </si>
  <si>
    <t>Transporte de pasajeros por carretera</t>
  </si>
  <si>
    <t>Transporte terrestre urbano</t>
  </si>
  <si>
    <t>Pasaje en carro público</t>
  </si>
  <si>
    <t>IPC_265</t>
  </si>
  <si>
    <t>Pasaje en motoconcho</t>
  </si>
  <si>
    <t>IPC_266</t>
  </si>
  <si>
    <t>Pasaje en autobús urbano</t>
  </si>
  <si>
    <t>IPC_267</t>
  </si>
  <si>
    <t>Servicio de taxi</t>
  </si>
  <si>
    <t>IPC_268</t>
  </si>
  <si>
    <t>Transporte escolar</t>
  </si>
  <si>
    <t>IPC_269</t>
  </si>
  <si>
    <t>Metro</t>
  </si>
  <si>
    <t>IPC_270</t>
  </si>
  <si>
    <t>Transporte terrestre interurbano</t>
  </si>
  <si>
    <t>Pasaje en guaguas sindicalizadas</t>
  </si>
  <si>
    <t>IPC_271</t>
  </si>
  <si>
    <t>Pasajes en guaguas (Metro, Caribe Tours...)</t>
  </si>
  <si>
    <t>IPC_272</t>
  </si>
  <si>
    <t>Pasaje interurbano en camioneta</t>
  </si>
  <si>
    <t>IPC_273</t>
  </si>
  <si>
    <t>Transporte de pasajeros por aire</t>
  </si>
  <si>
    <t>Transporte aéreo</t>
  </si>
  <si>
    <t>Pasaje al exterior</t>
  </si>
  <si>
    <t>IPC_274</t>
  </si>
  <si>
    <t>Comunicaciones</t>
  </si>
  <si>
    <t>Equipos Telefónicos</t>
  </si>
  <si>
    <t>Equipo telefónico celular</t>
  </si>
  <si>
    <t>IPC_275</t>
  </si>
  <si>
    <t>Servicios Telefónicos</t>
  </si>
  <si>
    <t>Servicios telefónicos</t>
  </si>
  <si>
    <t>Servicios de telefonía fija</t>
  </si>
  <si>
    <t>Servicio telefónico fijo</t>
  </si>
  <si>
    <t>IPC_276</t>
  </si>
  <si>
    <t>Servicio de internet</t>
  </si>
  <si>
    <t>IPC_277</t>
  </si>
  <si>
    <t>Servicios combinados de telefonía, televisión pagada e internet</t>
  </si>
  <si>
    <t>IPC_278</t>
  </si>
  <si>
    <t>Servicios de telefonía celular</t>
  </si>
  <si>
    <t>IPC_279</t>
  </si>
  <si>
    <t>Recreación y Cultura</t>
  </si>
  <si>
    <t>Equipo Audiovisual  y de Procesamiento de Información</t>
  </si>
  <si>
    <t>Equipo para la recepción, grabación, y reproducción de sonidos e imágenes</t>
  </si>
  <si>
    <t>Equipos de audio y video</t>
  </si>
  <si>
    <t>Televisor</t>
  </si>
  <si>
    <t>IPC_280</t>
  </si>
  <si>
    <t>Accesorios para equipos de  sonido</t>
  </si>
  <si>
    <t>IPC_281</t>
  </si>
  <si>
    <t>Equipo de procesamiento</t>
  </si>
  <si>
    <t>Computadoras y tablets</t>
  </si>
  <si>
    <t>IPC_282</t>
  </si>
  <si>
    <t>Otros Artículos y Equipo para Recreación y Animales Domésticos</t>
  </si>
  <si>
    <t>Juegos y juguetes</t>
  </si>
  <si>
    <t>Juguetes</t>
  </si>
  <si>
    <t>IPC_283</t>
  </si>
  <si>
    <t>Equipo de deportes y recreación al aire libre</t>
  </si>
  <si>
    <t>Equipos de deporte y recreación</t>
  </si>
  <si>
    <t>Equipos para deportes</t>
  </si>
  <si>
    <t>IPC_284</t>
  </si>
  <si>
    <t>Animales domésticos</t>
  </si>
  <si>
    <t>Animales domésticos y productos conexos</t>
  </si>
  <si>
    <t>Alimentos para animales domésticos</t>
  </si>
  <si>
    <t>IPC_285</t>
  </si>
  <si>
    <t>Productos para cuidado de mascotas</t>
  </si>
  <si>
    <t>IPC_286</t>
  </si>
  <si>
    <t>Servicios de veterinaria y de otros tipos de animales domésticos</t>
  </si>
  <si>
    <t>Servicios de veterinaria para animales domésticos</t>
  </si>
  <si>
    <t>IPC_287</t>
  </si>
  <si>
    <t>Servicios de Recreación y Culturales</t>
  </si>
  <si>
    <t>Servicios de recreación y deportivos</t>
  </si>
  <si>
    <t>Servicio de recreación y deporte</t>
  </si>
  <si>
    <t>Cuota de gimnasio</t>
  </si>
  <si>
    <t>IPC_288</t>
  </si>
  <si>
    <t>Servicios culturales</t>
  </si>
  <si>
    <t>Servicio de cultura</t>
  </si>
  <si>
    <t>Televisión por suscripción</t>
  </si>
  <si>
    <t>IPC_289</t>
  </si>
  <si>
    <t>Cine</t>
  </si>
  <si>
    <t>IPC_290</t>
  </si>
  <si>
    <t>Juegos de azar</t>
  </si>
  <si>
    <t>Loterias</t>
  </si>
  <si>
    <t>IPC_291</t>
  </si>
  <si>
    <t>Periódicos, Libros y Papeles y Útiles de Oficina</t>
  </si>
  <si>
    <t>Libros</t>
  </si>
  <si>
    <t>Libros escolares</t>
  </si>
  <si>
    <t>IPC_292</t>
  </si>
  <si>
    <t>Textos universitarios</t>
  </si>
  <si>
    <t>IPC_293</t>
  </si>
  <si>
    <t>Papel y útiles de oficina</t>
  </si>
  <si>
    <t>Cuadernos</t>
  </si>
  <si>
    <t>IPC_294</t>
  </si>
  <si>
    <t>Lápiz</t>
  </si>
  <si>
    <t>IPC_295</t>
  </si>
  <si>
    <t>Goma de borrar</t>
  </si>
  <si>
    <t>IPC_296</t>
  </si>
  <si>
    <t>Resma de papel blanco 8.5" x 11"</t>
  </si>
  <si>
    <t>IPC_297</t>
  </si>
  <si>
    <t>Paquetes Turísticos</t>
  </si>
  <si>
    <t>Paquetes turísticos</t>
  </si>
  <si>
    <t>IPC_298</t>
  </si>
  <si>
    <t>Educación</t>
  </si>
  <si>
    <t>Enseñanza Preescolar y Enseñanza Primaria</t>
  </si>
  <si>
    <t>Enseñanza preescolar y enseñanza primaria</t>
  </si>
  <si>
    <t>Enseñanza preescolar</t>
  </si>
  <si>
    <t>IPC_299</t>
  </si>
  <si>
    <t>Enseñanza primaria</t>
  </si>
  <si>
    <t>IPC_300</t>
  </si>
  <si>
    <t>Enseñanza Secundaria</t>
  </si>
  <si>
    <t>Enseñanza secundaria</t>
  </si>
  <si>
    <t>IPC_301</t>
  </si>
  <si>
    <t>Enseñanza Terciaria</t>
  </si>
  <si>
    <t>Enseñanza terciaria</t>
  </si>
  <si>
    <t>Enseñanza universitaria</t>
  </si>
  <si>
    <t>IPC_302</t>
  </si>
  <si>
    <t>Enseñanza no Atribuible a Ningún Nivel</t>
  </si>
  <si>
    <t>Enseñanza no atribuible a ningún nivel</t>
  </si>
  <si>
    <t>Clases de idiomas</t>
  </si>
  <si>
    <t>IPC_303</t>
  </si>
  <si>
    <t>Restaurantes y Hoteles</t>
  </si>
  <si>
    <t>Servicios de Suministro de Comidas por Contrato</t>
  </si>
  <si>
    <t>Restaurantes, cafés y establecimientos similares</t>
  </si>
  <si>
    <t>Servicio de comida fuera del hogar</t>
  </si>
  <si>
    <t>Plato del día</t>
  </si>
  <si>
    <t>IPC_304</t>
  </si>
  <si>
    <t>Servicio de víveres con acompañamiento</t>
  </si>
  <si>
    <t>IPC_305</t>
  </si>
  <si>
    <t>Servicio de pollo</t>
  </si>
  <si>
    <t>IPC_306</t>
  </si>
  <si>
    <t>Sandwiches</t>
  </si>
  <si>
    <t>IPC_307</t>
  </si>
  <si>
    <t>Pizza</t>
  </si>
  <si>
    <t>IPC_308</t>
  </si>
  <si>
    <t>Empanadas</t>
  </si>
  <si>
    <t>IPC_309</t>
  </si>
  <si>
    <t>Comida china</t>
  </si>
  <si>
    <t>IPC_310</t>
  </si>
  <si>
    <t>Hamburguesas</t>
  </si>
  <si>
    <t>IPC_311</t>
  </si>
  <si>
    <t>Postres</t>
  </si>
  <si>
    <t>IPC_312</t>
  </si>
  <si>
    <t>Hot Dog</t>
  </si>
  <si>
    <t>IPC_313</t>
  </si>
  <si>
    <t>Bebidas alcohólicas y no alcohólicas servidas</t>
  </si>
  <si>
    <t>Cerveza servida fuera del hogar</t>
  </si>
  <si>
    <t>IPC_314</t>
  </si>
  <si>
    <t>Jugo servido fuera del hogar</t>
  </si>
  <si>
    <t>IPC_315</t>
  </si>
  <si>
    <t>Batida de fruta con leche</t>
  </si>
  <si>
    <t>IPC_316</t>
  </si>
  <si>
    <t>Gaseosa servida fuera del hogar</t>
  </si>
  <si>
    <t>IPC_317</t>
  </si>
  <si>
    <t>Café servido fuera del hogar</t>
  </si>
  <si>
    <t>IPC_318</t>
  </si>
  <si>
    <t>Servicios de Alojamiento</t>
  </si>
  <si>
    <t>Servicios de alojamiento</t>
  </si>
  <si>
    <t>Servicio de alojamiento</t>
  </si>
  <si>
    <t>IPC_319</t>
  </si>
  <si>
    <t>Bienes y Servicios Diversos</t>
  </si>
  <si>
    <t>Cuidado Personal</t>
  </si>
  <si>
    <t>Salones de peluquería</t>
  </si>
  <si>
    <t>Servicios de cuidado personal</t>
  </si>
  <si>
    <t>Lavado y peinado de pelo</t>
  </si>
  <si>
    <t>IPC_320</t>
  </si>
  <si>
    <t>Corte de pelo para hombre</t>
  </si>
  <si>
    <t>IPC_321</t>
  </si>
  <si>
    <t>Aplicación de desrizado</t>
  </si>
  <si>
    <t>IPC_322</t>
  </si>
  <si>
    <t>Aplicación de tintes</t>
  </si>
  <si>
    <t>IPC_323</t>
  </si>
  <si>
    <t>Arreglo de uñas (Manicure)</t>
  </si>
  <si>
    <t>IPC_324</t>
  </si>
  <si>
    <t>Arreglo de pies (Pedicure)</t>
  </si>
  <si>
    <t>IPC_325</t>
  </si>
  <si>
    <t>Corte de pelo para mujer</t>
  </si>
  <si>
    <t>IPC_326</t>
  </si>
  <si>
    <t>Afeitado, Arreglo de barba y Cerquillo</t>
  </si>
  <si>
    <t>IPC_327</t>
  </si>
  <si>
    <t>Otros aparatos, artículos y productos para la atención personal</t>
  </si>
  <si>
    <t>Artículos de cuidado personal</t>
  </si>
  <si>
    <t>Pañales desechables</t>
  </si>
  <si>
    <t>IPC_328</t>
  </si>
  <si>
    <t>Desodorantes</t>
  </si>
  <si>
    <t>IPC_329</t>
  </si>
  <si>
    <t>Papel higiénico</t>
  </si>
  <si>
    <t>IPC_330</t>
  </si>
  <si>
    <t>Perfumes</t>
  </si>
  <si>
    <t>IPC_331</t>
  </si>
  <si>
    <t>Pasta dental</t>
  </si>
  <si>
    <t>IPC_332</t>
  </si>
  <si>
    <t>Toallas sanitarias</t>
  </si>
  <si>
    <t>IPC_333</t>
  </si>
  <si>
    <t>Jabón de baño</t>
  </si>
  <si>
    <t>IPC_334</t>
  </si>
  <si>
    <t>Rasuradora</t>
  </si>
  <si>
    <t>IPC_335</t>
  </si>
  <si>
    <t>Shampoo</t>
  </si>
  <si>
    <t>IPC_336</t>
  </si>
  <si>
    <t>Tratamientos para el pelo</t>
  </si>
  <si>
    <t>IPC_337</t>
  </si>
  <si>
    <t>Tintes para el cabello</t>
  </si>
  <si>
    <t>IPC_338</t>
  </si>
  <si>
    <t>Cremas para la piel</t>
  </si>
  <si>
    <t>IPC_339</t>
  </si>
  <si>
    <t>Rinse y acondicionador</t>
  </si>
  <si>
    <t>IPC_340</t>
  </si>
  <si>
    <t>Enjuague bucal</t>
  </si>
  <si>
    <t>IPC_341</t>
  </si>
  <si>
    <t>Cepillos de dientes</t>
  </si>
  <si>
    <t>IPC_342</t>
  </si>
  <si>
    <t>Cepillos para el cabello</t>
  </si>
  <si>
    <t>IPC_343</t>
  </si>
  <si>
    <t>Toallitas húmedas (Wipers)</t>
  </si>
  <si>
    <t>IPC_344</t>
  </si>
  <si>
    <t>Linea de productos para el pelo</t>
  </si>
  <si>
    <t>IPC_345</t>
  </si>
  <si>
    <t>Jabones íntimos</t>
  </si>
  <si>
    <t>IPC_346</t>
  </si>
  <si>
    <t>Crema facial</t>
  </si>
  <si>
    <t>IPC_347</t>
  </si>
  <si>
    <t>Cosméticos</t>
  </si>
  <si>
    <t>IPC_348</t>
  </si>
  <si>
    <t>Esmalte de uñas</t>
  </si>
  <si>
    <t>IPC_349</t>
  </si>
  <si>
    <t>Crema para pañales</t>
  </si>
  <si>
    <t>IPC_350</t>
  </si>
  <si>
    <t>Efectos Personales</t>
  </si>
  <si>
    <t>Joyería, relojes de pared y relojes de pulsera</t>
  </si>
  <si>
    <t>Joyería y relojes</t>
  </si>
  <si>
    <t>Relojes de pulsera</t>
  </si>
  <si>
    <t>IPC_351</t>
  </si>
  <si>
    <t>Joyas de fantasía</t>
  </si>
  <si>
    <t>IPC_352</t>
  </si>
  <si>
    <t>Otros efectos personales</t>
  </si>
  <si>
    <t>Carteras para mujer</t>
  </si>
  <si>
    <t>IPC_353</t>
  </si>
  <si>
    <t>Mochilas</t>
  </si>
  <si>
    <t>IPC_354</t>
  </si>
  <si>
    <t>Lentes de sol</t>
  </si>
  <si>
    <t>IPC_355</t>
  </si>
  <si>
    <t>Protección social</t>
  </si>
  <si>
    <t>Guardería</t>
  </si>
  <si>
    <t>IPC_356</t>
  </si>
  <si>
    <t>Seguros</t>
  </si>
  <si>
    <t>Seguro relacionado con la salud</t>
  </si>
  <si>
    <t>Seguro de salud</t>
  </si>
  <si>
    <t>IPC_357</t>
  </si>
  <si>
    <t>Seguro relacionado con el transporte</t>
  </si>
  <si>
    <t>Seguros de vehículos</t>
  </si>
  <si>
    <t>IPC_358</t>
  </si>
  <si>
    <t>Otros seguros</t>
  </si>
  <si>
    <t>Otros Seguros</t>
  </si>
  <si>
    <t>Seguros de servicio funerario</t>
  </si>
  <si>
    <t>IPC_359</t>
  </si>
  <si>
    <t>Otros Servicios</t>
  </si>
  <si>
    <t>Otros servicios</t>
  </si>
  <si>
    <t>Celebración de eventos</t>
  </si>
  <si>
    <t>IPC_360</t>
  </si>
  <si>
    <t>Honorarios a abogados</t>
  </si>
  <si>
    <t>IPC_361</t>
  </si>
  <si>
    <t>Servicios funerarios</t>
  </si>
  <si>
    <t>IPC_362</t>
  </si>
  <si>
    <t>Fotocopias</t>
  </si>
  <si>
    <t>IPC_363</t>
  </si>
  <si>
    <t>Trámite para pasaporte (renovación)</t>
  </si>
  <si>
    <t>IPC_364</t>
  </si>
  <si>
    <t>posicion</t>
  </si>
  <si>
    <t>codigo_articulo</t>
  </si>
  <si>
    <t>id</t>
  </si>
  <si>
    <t>Z0001</t>
  </si>
  <si>
    <t>01</t>
  </si>
  <si>
    <t>011</t>
  </si>
  <si>
    <t>0111</t>
  </si>
  <si>
    <t>01111</t>
  </si>
  <si>
    <t>0111101</t>
  </si>
  <si>
    <t>0111102</t>
  </si>
  <si>
    <t>0111104</t>
  </si>
  <si>
    <t>01112</t>
  </si>
  <si>
    <t>0111201</t>
  </si>
  <si>
    <t>0111202</t>
  </si>
  <si>
    <t>0111203</t>
  </si>
  <si>
    <t>0111204</t>
  </si>
  <si>
    <t>0111205</t>
  </si>
  <si>
    <t>0111206</t>
  </si>
  <si>
    <t>01113</t>
  </si>
  <si>
    <t>0111301</t>
  </si>
  <si>
    <t>0111302</t>
  </si>
  <si>
    <t>0111303</t>
  </si>
  <si>
    <t>0111304</t>
  </si>
  <si>
    <t>0111305</t>
  </si>
  <si>
    <t>01114</t>
  </si>
  <si>
    <t>0111401</t>
  </si>
  <si>
    <t>01115</t>
  </si>
  <si>
    <t>0111501</t>
  </si>
  <si>
    <t>0111502</t>
  </si>
  <si>
    <t>0111503</t>
  </si>
  <si>
    <t>0112</t>
  </si>
  <si>
    <t>01121</t>
  </si>
  <si>
    <t>0112101</t>
  </si>
  <si>
    <t>0112102</t>
  </si>
  <si>
    <t>0112103</t>
  </si>
  <si>
    <t>01122</t>
  </si>
  <si>
    <t>0112201</t>
  </si>
  <si>
    <t>0112202</t>
  </si>
  <si>
    <t>0112203</t>
  </si>
  <si>
    <t>01123</t>
  </si>
  <si>
    <t>0112301</t>
  </si>
  <si>
    <t>0112302</t>
  </si>
  <si>
    <t>0112304</t>
  </si>
  <si>
    <t>0112305</t>
  </si>
  <si>
    <t>01124</t>
  </si>
  <si>
    <t>0112402</t>
  </si>
  <si>
    <t>01125</t>
  </si>
  <si>
    <t>0112501</t>
  </si>
  <si>
    <t>0112502</t>
  </si>
  <si>
    <t>0112503</t>
  </si>
  <si>
    <t>0112504</t>
  </si>
  <si>
    <t>0112506</t>
  </si>
  <si>
    <t>0112507</t>
  </si>
  <si>
    <t>0112508</t>
  </si>
  <si>
    <t>0113</t>
  </si>
  <si>
    <t>01131</t>
  </si>
  <si>
    <t>0113101</t>
  </si>
  <si>
    <t>0113102</t>
  </si>
  <si>
    <t>0113103</t>
  </si>
  <si>
    <t>01132</t>
  </si>
  <si>
    <t>0113201</t>
  </si>
  <si>
    <t>0113202</t>
  </si>
  <si>
    <t>0113203</t>
  </si>
  <si>
    <t>0113204</t>
  </si>
  <si>
    <t>0114</t>
  </si>
  <si>
    <t>01141</t>
  </si>
  <si>
    <t>0114101</t>
  </si>
  <si>
    <t>0114102</t>
  </si>
  <si>
    <t>0114103</t>
  </si>
  <si>
    <t>0114104</t>
  </si>
  <si>
    <t>0114105</t>
  </si>
  <si>
    <t>0114106</t>
  </si>
  <si>
    <t>0114107</t>
  </si>
  <si>
    <t>0114108</t>
  </si>
  <si>
    <t>01142</t>
  </si>
  <si>
    <t>0114201</t>
  </si>
  <si>
    <t>0114202</t>
  </si>
  <si>
    <t>0114203</t>
  </si>
  <si>
    <t>0114204</t>
  </si>
  <si>
    <t>0114205</t>
  </si>
  <si>
    <t>01143</t>
  </si>
  <si>
    <t>0114301</t>
  </si>
  <si>
    <t>01144</t>
  </si>
  <si>
    <t>0114401</t>
  </si>
  <si>
    <t>0115</t>
  </si>
  <si>
    <t>01151</t>
  </si>
  <si>
    <t>0115101</t>
  </si>
  <si>
    <t>0115104</t>
  </si>
  <si>
    <t>01152</t>
  </si>
  <si>
    <t>0115202</t>
  </si>
  <si>
    <t>0116</t>
  </si>
  <si>
    <t>01161</t>
  </si>
  <si>
    <t>0116101</t>
  </si>
  <si>
    <t>0116102</t>
  </si>
  <si>
    <t>0116103</t>
  </si>
  <si>
    <t>0116104</t>
  </si>
  <si>
    <t>0116105</t>
  </si>
  <si>
    <t>0116106</t>
  </si>
  <si>
    <t>0116107</t>
  </si>
  <si>
    <t>0116108</t>
  </si>
  <si>
    <t>0116109</t>
  </si>
  <si>
    <t>0116110</t>
  </si>
  <si>
    <t>0116112</t>
  </si>
  <si>
    <t>0116113</t>
  </si>
  <si>
    <t>01162</t>
  </si>
  <si>
    <t>0116201</t>
  </si>
  <si>
    <t>0117</t>
  </si>
  <si>
    <t>01171</t>
  </si>
  <si>
    <t>0117101</t>
  </si>
  <si>
    <t>0117102</t>
  </si>
  <si>
    <t>0117103</t>
  </si>
  <si>
    <t>0117104</t>
  </si>
  <si>
    <t>01172</t>
  </si>
  <si>
    <t>0117201</t>
  </si>
  <si>
    <t>0117202</t>
  </si>
  <si>
    <t>0117203</t>
  </si>
  <si>
    <t>0117204</t>
  </si>
  <si>
    <t>0117205</t>
  </si>
  <si>
    <t>01173</t>
  </si>
  <si>
    <t>0117301</t>
  </si>
  <si>
    <t>0117302</t>
  </si>
  <si>
    <t>0117303</t>
  </si>
  <si>
    <t>0117304</t>
  </si>
  <si>
    <t>0117305</t>
  </si>
  <si>
    <t>0117306</t>
  </si>
  <si>
    <t>0117307</t>
  </si>
  <si>
    <t>0117308</t>
  </si>
  <si>
    <t>0117309</t>
  </si>
  <si>
    <t>0117310</t>
  </si>
  <si>
    <t>0117311</t>
  </si>
  <si>
    <t>0117312</t>
  </si>
  <si>
    <t>0117313</t>
  </si>
  <si>
    <t>01174</t>
  </si>
  <si>
    <t>0117402</t>
  </si>
  <si>
    <t>0117403</t>
  </si>
  <si>
    <t>01175</t>
  </si>
  <si>
    <t>0117501</t>
  </si>
  <si>
    <t>0117502</t>
  </si>
  <si>
    <t>0118</t>
  </si>
  <si>
    <t>01181</t>
  </si>
  <si>
    <t>0118101</t>
  </si>
  <si>
    <t>0118102</t>
  </si>
  <si>
    <t>01182</t>
  </si>
  <si>
    <t>0118202</t>
  </si>
  <si>
    <t>0118204</t>
  </si>
  <si>
    <t>0118205</t>
  </si>
  <si>
    <t>01183</t>
  </si>
  <si>
    <t>0118301</t>
  </si>
  <si>
    <t>0118302</t>
  </si>
  <si>
    <t>0119</t>
  </si>
  <si>
    <t>01191</t>
  </si>
  <si>
    <t>0119101</t>
  </si>
  <si>
    <t>01192</t>
  </si>
  <si>
    <t>0119201</t>
  </si>
  <si>
    <t>0119202</t>
  </si>
  <si>
    <t>0119203</t>
  </si>
  <si>
    <t>0119204</t>
  </si>
  <si>
    <t>0119205</t>
  </si>
  <si>
    <t>0119206</t>
  </si>
  <si>
    <t>0119207</t>
  </si>
  <si>
    <t>0119208</t>
  </si>
  <si>
    <t>0119209</t>
  </si>
  <si>
    <t>01193</t>
  </si>
  <si>
    <t>0119301</t>
  </si>
  <si>
    <t>0119302</t>
  </si>
  <si>
    <t>0119303</t>
  </si>
  <si>
    <t>012</t>
  </si>
  <si>
    <t>0121</t>
  </si>
  <si>
    <t>01211</t>
  </si>
  <si>
    <t>0121101</t>
  </si>
  <si>
    <t>01212</t>
  </si>
  <si>
    <t>0121201</t>
  </si>
  <si>
    <t>0121202</t>
  </si>
  <si>
    <t>0122</t>
  </si>
  <si>
    <t>01221</t>
  </si>
  <si>
    <t>0122101</t>
  </si>
  <si>
    <t>0122103</t>
  </si>
  <si>
    <t>01222</t>
  </si>
  <si>
    <t>0122201</t>
  </si>
  <si>
    <t>0122202</t>
  </si>
  <si>
    <t>0122203</t>
  </si>
  <si>
    <t>0122204</t>
  </si>
  <si>
    <t>02</t>
  </si>
  <si>
    <t>021</t>
  </si>
  <si>
    <t>0211</t>
  </si>
  <si>
    <t>02111</t>
  </si>
  <si>
    <t>0211101</t>
  </si>
  <si>
    <t>0211102</t>
  </si>
  <si>
    <t>0211103</t>
  </si>
  <si>
    <t>0211104</t>
  </si>
  <si>
    <t>0212</t>
  </si>
  <si>
    <t>02121</t>
  </si>
  <si>
    <t>0212101</t>
  </si>
  <si>
    <t>0213</t>
  </si>
  <si>
    <t>02131</t>
  </si>
  <si>
    <t>0213101</t>
  </si>
  <si>
    <t>0213102</t>
  </si>
  <si>
    <t>022</t>
  </si>
  <si>
    <t>0221</t>
  </si>
  <si>
    <t>02211</t>
  </si>
  <si>
    <t>0221101</t>
  </si>
  <si>
    <t>03</t>
  </si>
  <si>
    <t>031</t>
  </si>
  <si>
    <t>0312</t>
  </si>
  <si>
    <t>03121</t>
  </si>
  <si>
    <t>0312101</t>
  </si>
  <si>
    <t>0312102</t>
  </si>
  <si>
    <t>0312103</t>
  </si>
  <si>
    <t>0312105</t>
  </si>
  <si>
    <t>0312107</t>
  </si>
  <si>
    <t>0312110</t>
  </si>
  <si>
    <t>03122</t>
  </si>
  <si>
    <t>0312201</t>
  </si>
  <si>
    <t>0312202</t>
  </si>
  <si>
    <t>0312203</t>
  </si>
  <si>
    <t>0312204</t>
  </si>
  <si>
    <t>0312205</t>
  </si>
  <si>
    <t>0312206</t>
  </si>
  <si>
    <t>0312207</t>
  </si>
  <si>
    <t>0312209</t>
  </si>
  <si>
    <t>03123</t>
  </si>
  <si>
    <t>0312301</t>
  </si>
  <si>
    <t>0312302</t>
  </si>
  <si>
    <t>0312303</t>
  </si>
  <si>
    <t>0312304</t>
  </si>
  <si>
    <t>0312305</t>
  </si>
  <si>
    <t>0312306</t>
  </si>
  <si>
    <t>0313</t>
  </si>
  <si>
    <t>03131</t>
  </si>
  <si>
    <t>0313101</t>
  </si>
  <si>
    <t>0313102</t>
  </si>
  <si>
    <t>0314</t>
  </si>
  <si>
    <t>03141</t>
  </si>
  <si>
    <t>0314102</t>
  </si>
  <si>
    <t>032</t>
  </si>
  <si>
    <t>0321</t>
  </si>
  <si>
    <t>03211</t>
  </si>
  <si>
    <t>0321101</t>
  </si>
  <si>
    <t>0321102</t>
  </si>
  <si>
    <t>0321104</t>
  </si>
  <si>
    <t>03212</t>
  </si>
  <si>
    <t>0321201</t>
  </si>
  <si>
    <t>0321202</t>
  </si>
  <si>
    <t>0321203</t>
  </si>
  <si>
    <t>0321205</t>
  </si>
  <si>
    <t>03214</t>
  </si>
  <si>
    <t>0321401</t>
  </si>
  <si>
    <t>0321402</t>
  </si>
  <si>
    <t>04</t>
  </si>
  <si>
    <t>041</t>
  </si>
  <si>
    <t>0411</t>
  </si>
  <si>
    <t>04111</t>
  </si>
  <si>
    <t>0411101</t>
  </si>
  <si>
    <t>043</t>
  </si>
  <si>
    <t>0431</t>
  </si>
  <si>
    <t>04311</t>
  </si>
  <si>
    <t>0431101</t>
  </si>
  <si>
    <t>0432</t>
  </si>
  <si>
    <t>04321</t>
  </si>
  <si>
    <t>0432101</t>
  </si>
  <si>
    <t>0432103</t>
  </si>
  <si>
    <t>044</t>
  </si>
  <si>
    <t>0441</t>
  </si>
  <si>
    <t>04411</t>
  </si>
  <si>
    <t>0441101</t>
  </si>
  <si>
    <t>0441102</t>
  </si>
  <si>
    <t>0442</t>
  </si>
  <si>
    <t>04421</t>
  </si>
  <si>
    <t>0442101</t>
  </si>
  <si>
    <t>0443</t>
  </si>
  <si>
    <t>04431</t>
  </si>
  <si>
    <t>0443101</t>
  </si>
  <si>
    <t>045</t>
  </si>
  <si>
    <t>0451</t>
  </si>
  <si>
    <t>04511</t>
  </si>
  <si>
    <t>0451101</t>
  </si>
  <si>
    <t>0452</t>
  </si>
  <si>
    <t>04521</t>
  </si>
  <si>
    <t>0452101</t>
  </si>
  <si>
    <t>0453</t>
  </si>
  <si>
    <t>04531</t>
  </si>
  <si>
    <t>0453101</t>
  </si>
  <si>
    <t>0453102</t>
  </si>
  <si>
    <t>0454</t>
  </si>
  <si>
    <t>04541</t>
  </si>
  <si>
    <t>0454101</t>
  </si>
  <si>
    <t>05</t>
  </si>
  <si>
    <t>051</t>
  </si>
  <si>
    <t>0511</t>
  </si>
  <si>
    <t>05111</t>
  </si>
  <si>
    <t>0511101</t>
  </si>
  <si>
    <t>0511102</t>
  </si>
  <si>
    <t>0511103</t>
  </si>
  <si>
    <t>0511104</t>
  </si>
  <si>
    <t>0511105</t>
  </si>
  <si>
    <t>0513</t>
  </si>
  <si>
    <t>05131</t>
  </si>
  <si>
    <t>0513101</t>
  </si>
  <si>
    <t>052</t>
  </si>
  <si>
    <t>0521</t>
  </si>
  <si>
    <t>05211</t>
  </si>
  <si>
    <t>0521101</t>
  </si>
  <si>
    <t>0521103</t>
  </si>
  <si>
    <t>0521104</t>
  </si>
  <si>
    <t>0521105</t>
  </si>
  <si>
    <t>0521106</t>
  </si>
  <si>
    <t>0521107</t>
  </si>
  <si>
    <t>053</t>
  </si>
  <si>
    <t>0531</t>
  </si>
  <si>
    <t>05311</t>
  </si>
  <si>
    <t>0531101</t>
  </si>
  <si>
    <t>0531102</t>
  </si>
  <si>
    <t>0531103</t>
  </si>
  <si>
    <t>0531105</t>
  </si>
  <si>
    <t>0532</t>
  </si>
  <si>
    <t>05321</t>
  </si>
  <si>
    <t>0532101</t>
  </si>
  <si>
    <t>0532102</t>
  </si>
  <si>
    <t>054</t>
  </si>
  <si>
    <t>0541</t>
  </si>
  <si>
    <t>05411</t>
  </si>
  <si>
    <t>0541103</t>
  </si>
  <si>
    <t>0541104</t>
  </si>
  <si>
    <t>0541105</t>
  </si>
  <si>
    <t>055</t>
  </si>
  <si>
    <t>0552</t>
  </si>
  <si>
    <t>05521</t>
  </si>
  <si>
    <t>0552101</t>
  </si>
  <si>
    <t>0552103</t>
  </si>
  <si>
    <t>056</t>
  </si>
  <si>
    <t>0561</t>
  </si>
  <si>
    <t>05611</t>
  </si>
  <si>
    <t>0561101</t>
  </si>
  <si>
    <t>0561102</t>
  </si>
  <si>
    <t>0561103</t>
  </si>
  <si>
    <t>0561104</t>
  </si>
  <si>
    <t>0561105</t>
  </si>
  <si>
    <t>0561106</t>
  </si>
  <si>
    <t>0561107</t>
  </si>
  <si>
    <t>0561109</t>
  </si>
  <si>
    <t>0561110</t>
  </si>
  <si>
    <t>0561111</t>
  </si>
  <si>
    <t>0562</t>
  </si>
  <si>
    <t>05621</t>
  </si>
  <si>
    <t>0562101</t>
  </si>
  <si>
    <t>06</t>
  </si>
  <si>
    <t>061</t>
  </si>
  <si>
    <t>0611</t>
  </si>
  <si>
    <t>06111</t>
  </si>
  <si>
    <t>0611101</t>
  </si>
  <si>
    <t>0611102</t>
  </si>
  <si>
    <t>0611103</t>
  </si>
  <si>
    <t>0611104</t>
  </si>
  <si>
    <t>0611105</t>
  </si>
  <si>
    <t>0611106</t>
  </si>
  <si>
    <t>0611107</t>
  </si>
  <si>
    <t>0611108</t>
  </si>
  <si>
    <t>0611109</t>
  </si>
  <si>
    <t>0611110</t>
  </si>
  <si>
    <t>0611111</t>
  </si>
  <si>
    <t>0611112</t>
  </si>
  <si>
    <t>0611113</t>
  </si>
  <si>
    <t>0611114</t>
  </si>
  <si>
    <t>0611115</t>
  </si>
  <si>
    <t>0611116</t>
  </si>
  <si>
    <t>0611117</t>
  </si>
  <si>
    <t>0611120</t>
  </si>
  <si>
    <t>0611122</t>
  </si>
  <si>
    <t>0611123</t>
  </si>
  <si>
    <t>0613</t>
  </si>
  <si>
    <t>06131</t>
  </si>
  <si>
    <t>0613101</t>
  </si>
  <si>
    <t>062</t>
  </si>
  <si>
    <t>0621</t>
  </si>
  <si>
    <t>06211</t>
  </si>
  <si>
    <t>0621101</t>
  </si>
  <si>
    <t>0621102</t>
  </si>
  <si>
    <t>0621103</t>
  </si>
  <si>
    <t>0621104</t>
  </si>
  <si>
    <t>0622</t>
  </si>
  <si>
    <t>06221</t>
  </si>
  <si>
    <t>0622102</t>
  </si>
  <si>
    <t>0622104</t>
  </si>
  <si>
    <t>0623</t>
  </si>
  <si>
    <t>06231</t>
  </si>
  <si>
    <t>0623101</t>
  </si>
  <si>
    <t>06232</t>
  </si>
  <si>
    <t>0623201</t>
  </si>
  <si>
    <t>0623202</t>
  </si>
  <si>
    <t>063</t>
  </si>
  <si>
    <t>0631</t>
  </si>
  <si>
    <t>06311</t>
  </si>
  <si>
    <t>0631101</t>
  </si>
  <si>
    <t>0631102</t>
  </si>
  <si>
    <t>07</t>
  </si>
  <si>
    <t>071</t>
  </si>
  <si>
    <t>0711</t>
  </si>
  <si>
    <t>07111</t>
  </si>
  <si>
    <t>0711101</t>
  </si>
  <si>
    <t>0712</t>
  </si>
  <si>
    <t>07121</t>
  </si>
  <si>
    <t>0712101</t>
  </si>
  <si>
    <t>072</t>
  </si>
  <si>
    <t>0721</t>
  </si>
  <si>
    <t>07211</t>
  </si>
  <si>
    <t>0721101</t>
  </si>
  <si>
    <t>0721102</t>
  </si>
  <si>
    <t>0721103</t>
  </si>
  <si>
    <t>0721104</t>
  </si>
  <si>
    <t>0721105</t>
  </si>
  <si>
    <t>0722</t>
  </si>
  <si>
    <t>07221</t>
  </si>
  <si>
    <t>0722101</t>
  </si>
  <si>
    <t>0722102</t>
  </si>
  <si>
    <t>0722103</t>
  </si>
  <si>
    <t>0722104</t>
  </si>
  <si>
    <t>0722105</t>
  </si>
  <si>
    <t>0723</t>
  </si>
  <si>
    <t>07231</t>
  </si>
  <si>
    <t>0723101</t>
  </si>
  <si>
    <t>0723102</t>
  </si>
  <si>
    <t>0724</t>
  </si>
  <si>
    <t>07241</t>
  </si>
  <si>
    <t>0724101</t>
  </si>
  <si>
    <t>0724102</t>
  </si>
  <si>
    <t>073</t>
  </si>
  <si>
    <t>0732</t>
  </si>
  <si>
    <t>07321</t>
  </si>
  <si>
    <t>0732101</t>
  </si>
  <si>
    <t>0732102</t>
  </si>
  <si>
    <t>0732103</t>
  </si>
  <si>
    <t>0732104</t>
  </si>
  <si>
    <t>0732105</t>
  </si>
  <si>
    <t>0732106</t>
  </si>
  <si>
    <t>07322</t>
  </si>
  <si>
    <t>0732201</t>
  </si>
  <si>
    <t>0732202</t>
  </si>
  <si>
    <t>0732203</t>
  </si>
  <si>
    <t>0733</t>
  </si>
  <si>
    <t>07331</t>
  </si>
  <si>
    <t>0733101</t>
  </si>
  <si>
    <t>08</t>
  </si>
  <si>
    <t>082</t>
  </si>
  <si>
    <t>0821</t>
  </si>
  <si>
    <t>08211</t>
  </si>
  <si>
    <t>0821101</t>
  </si>
  <si>
    <t>083</t>
  </si>
  <si>
    <t>0831</t>
  </si>
  <si>
    <t>08311</t>
  </si>
  <si>
    <t>0831101</t>
  </si>
  <si>
    <t>0831102</t>
  </si>
  <si>
    <t>0831104</t>
  </si>
  <si>
    <t>08312</t>
  </si>
  <si>
    <t>0831201</t>
  </si>
  <si>
    <t>09</t>
  </si>
  <si>
    <t>091</t>
  </si>
  <si>
    <t>0911</t>
  </si>
  <si>
    <t>09111</t>
  </si>
  <si>
    <t>0911101</t>
  </si>
  <si>
    <t>0911104</t>
  </si>
  <si>
    <t>0913</t>
  </si>
  <si>
    <t>09131</t>
  </si>
  <si>
    <t>0913101</t>
  </si>
  <si>
    <t>093</t>
  </si>
  <si>
    <t>0931</t>
  </si>
  <si>
    <t>09311</t>
  </si>
  <si>
    <t>0931101</t>
  </si>
  <si>
    <t>0932</t>
  </si>
  <si>
    <t>09321</t>
  </si>
  <si>
    <t>0932102</t>
  </si>
  <si>
    <t>0934</t>
  </si>
  <si>
    <t>09341</t>
  </si>
  <si>
    <t>0934101</t>
  </si>
  <si>
    <t>0934102</t>
  </si>
  <si>
    <t>0935</t>
  </si>
  <si>
    <t>09351</t>
  </si>
  <si>
    <t>0935101</t>
  </si>
  <si>
    <t>094</t>
  </si>
  <si>
    <t>0941</t>
  </si>
  <si>
    <t>09411</t>
  </si>
  <si>
    <t>0941101</t>
  </si>
  <si>
    <t>0942</t>
  </si>
  <si>
    <t>09421</t>
  </si>
  <si>
    <t>0942101</t>
  </si>
  <si>
    <t>0942103</t>
  </si>
  <si>
    <t>0943</t>
  </si>
  <si>
    <t>09431</t>
  </si>
  <si>
    <t>0943101</t>
  </si>
  <si>
    <t>095</t>
  </si>
  <si>
    <t>0951</t>
  </si>
  <si>
    <t>09511</t>
  </si>
  <si>
    <t>0951101</t>
  </si>
  <si>
    <t>0951102</t>
  </si>
  <si>
    <t>0954</t>
  </si>
  <si>
    <t>09541</t>
  </si>
  <si>
    <t>0954101</t>
  </si>
  <si>
    <t>0954102</t>
  </si>
  <si>
    <t>0954103</t>
  </si>
  <si>
    <t>0954104</t>
  </si>
  <si>
    <t>096</t>
  </si>
  <si>
    <t>0961</t>
  </si>
  <si>
    <t>09611</t>
  </si>
  <si>
    <t>0961101</t>
  </si>
  <si>
    <t>10</t>
  </si>
  <si>
    <t>101</t>
  </si>
  <si>
    <t>1011</t>
  </si>
  <si>
    <t>10111</t>
  </si>
  <si>
    <t>1011101</t>
  </si>
  <si>
    <t>10112</t>
  </si>
  <si>
    <t>1011201</t>
  </si>
  <si>
    <t>102</t>
  </si>
  <si>
    <t>1021</t>
  </si>
  <si>
    <t>10211</t>
  </si>
  <si>
    <t>1021101</t>
  </si>
  <si>
    <t>104</t>
  </si>
  <si>
    <t>1041</t>
  </si>
  <si>
    <t>10411</t>
  </si>
  <si>
    <t>1041101</t>
  </si>
  <si>
    <t>105</t>
  </si>
  <si>
    <t>1051</t>
  </si>
  <si>
    <t>10511</t>
  </si>
  <si>
    <t>1051101</t>
  </si>
  <si>
    <t>11</t>
  </si>
  <si>
    <t>111</t>
  </si>
  <si>
    <t>1111</t>
  </si>
  <si>
    <t>11111</t>
  </si>
  <si>
    <t>1111101</t>
  </si>
  <si>
    <t>1111102</t>
  </si>
  <si>
    <t>1111103</t>
  </si>
  <si>
    <t>1111104</t>
  </si>
  <si>
    <t>1111105</t>
  </si>
  <si>
    <t>1111106</t>
  </si>
  <si>
    <t>1111107</t>
  </si>
  <si>
    <t>1111108</t>
  </si>
  <si>
    <t>1111116</t>
  </si>
  <si>
    <t>1111117</t>
  </si>
  <si>
    <t>11112</t>
  </si>
  <si>
    <t>1111201</t>
  </si>
  <si>
    <t>1111202</t>
  </si>
  <si>
    <t>1111203</t>
  </si>
  <si>
    <t>1111204</t>
  </si>
  <si>
    <t>1111205</t>
  </si>
  <si>
    <t>112</t>
  </si>
  <si>
    <t>1121</t>
  </si>
  <si>
    <t>11211</t>
  </si>
  <si>
    <t>1121101</t>
  </si>
  <si>
    <t>12</t>
  </si>
  <si>
    <t>121</t>
  </si>
  <si>
    <t>1211</t>
  </si>
  <si>
    <t>12111</t>
  </si>
  <si>
    <t>1211101</t>
  </si>
  <si>
    <t>1211102</t>
  </si>
  <si>
    <t>1211103</t>
  </si>
  <si>
    <t>1211104</t>
  </si>
  <si>
    <t>1211105</t>
  </si>
  <si>
    <t>1211106</t>
  </si>
  <si>
    <t>1211107</t>
  </si>
  <si>
    <t>1211108</t>
  </si>
  <si>
    <t>1213</t>
  </si>
  <si>
    <t>12131</t>
  </si>
  <si>
    <t>1213101</t>
  </si>
  <si>
    <t>1213102</t>
  </si>
  <si>
    <t>1213103</t>
  </si>
  <si>
    <t>1213104</t>
  </si>
  <si>
    <t>1213105</t>
  </si>
  <si>
    <t>1213106</t>
  </si>
  <si>
    <t>1213107</t>
  </si>
  <si>
    <t>1213108</t>
  </si>
  <si>
    <t>1213109</t>
  </si>
  <si>
    <t>1213110</t>
  </si>
  <si>
    <t>1213111</t>
  </si>
  <si>
    <t>1213112</t>
  </si>
  <si>
    <t>1213113</t>
  </si>
  <si>
    <t>1213114</t>
  </si>
  <si>
    <t>1213115</t>
  </si>
  <si>
    <t>1213117</t>
  </si>
  <si>
    <t>1213118</t>
  </si>
  <si>
    <t>1213119</t>
  </si>
  <si>
    <t>1213120</t>
  </si>
  <si>
    <t>1213122</t>
  </si>
  <si>
    <t>1213124</t>
  </si>
  <si>
    <t>1213125</t>
  </si>
  <si>
    <t>1213126</t>
  </si>
  <si>
    <t>123</t>
  </si>
  <si>
    <t>1231</t>
  </si>
  <si>
    <t>12311</t>
  </si>
  <si>
    <t>1231102</t>
  </si>
  <si>
    <t>1231103</t>
  </si>
  <si>
    <t>1232</t>
  </si>
  <si>
    <t>12321</t>
  </si>
  <si>
    <t>1232101</t>
  </si>
  <si>
    <t>1232102</t>
  </si>
  <si>
    <t>1232103</t>
  </si>
  <si>
    <t>124</t>
  </si>
  <si>
    <t>1241</t>
  </si>
  <si>
    <t>12411</t>
  </si>
  <si>
    <t>1241101</t>
  </si>
  <si>
    <t>125</t>
  </si>
  <si>
    <t>1253</t>
  </si>
  <si>
    <t>12531</t>
  </si>
  <si>
    <t>1253101</t>
  </si>
  <si>
    <t>1254</t>
  </si>
  <si>
    <t>12541</t>
  </si>
  <si>
    <t>1254101</t>
  </si>
  <si>
    <t>1255</t>
  </si>
  <si>
    <t>12551</t>
  </si>
  <si>
    <t>1255101</t>
  </si>
  <si>
    <t>127</t>
  </si>
  <si>
    <t>1271</t>
  </si>
  <si>
    <t>12711</t>
  </si>
  <si>
    <t>1271101</t>
  </si>
  <si>
    <t>1271102</t>
  </si>
  <si>
    <t>1271103</t>
  </si>
  <si>
    <t>1271104</t>
  </si>
  <si>
    <t>1271105</t>
  </si>
  <si>
    <t>Suplementos alimenticios (Ensure y similares)</t>
  </si>
  <si>
    <t>Pasajes en guaguas de empresas privadas</t>
  </si>
  <si>
    <t>Toallitas húmedas (Wipes)</t>
  </si>
  <si>
    <t>Celebración de cumpleaños</t>
  </si>
  <si>
    <t>Original</t>
  </si>
  <si>
    <t>From online file</t>
  </si>
  <si>
    <t>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</si>
</sst>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0"/>
      <color rgb="FF0070C0"/>
      <name val="Tahoma"/>
      <family val="2"/>
    </font>
    <font>
      <sz val="10"/>
      <color theme="1"/>
      <name val="Tahoma"/>
      <family val="2"/>
    </font>
    <font>
      <sz val="11"/>
      <color rgb="FFC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/>
    <xf numFmtId="1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/>
    <xf numFmtId="1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2" borderId="0" xfId="0" applyFont="1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2AC7-D369-4DC0-9809-DF25F222E2E5}">
  <sheetPr>
    <tabColor rgb="FFFF0000"/>
  </sheetPr>
  <dimension ref="A1:X842"/>
  <sheetViews>
    <sheetView tabSelected="1" workbookViewId="0">
      <pane xSplit="2" ySplit="1" topLeftCell="C576" activePane="bottomRight" state="frozen"/>
      <selection pane="topRight" activeCell="B1" sqref="B1"/>
      <selection pane="bottomLeft" activeCell="A3" sqref="A3"/>
      <selection pane="bottomRight" activeCell="A2" sqref="A2:A613"/>
    </sheetView>
  </sheetViews>
  <sheetFormatPr defaultColWidth="11.42578125" defaultRowHeight="15" x14ac:dyDescent="0.25"/>
  <cols>
    <col min="2" max="2" width="68.85546875" bestFit="1" customWidth="1"/>
    <col min="3" max="3" width="10.42578125" bestFit="1" customWidth="1"/>
    <col min="4" max="4" width="33.140625" bestFit="1" customWidth="1"/>
    <col min="5" max="5" width="11" bestFit="1" customWidth="1"/>
    <col min="6" max="6" width="14" bestFit="1" customWidth="1"/>
    <col min="7" max="7" width="10.28515625" bestFit="1" customWidth="1"/>
    <col min="8" max="8" width="13.28515625" bestFit="1" customWidth="1"/>
    <col min="9" max="9" width="12.5703125" bestFit="1" customWidth="1"/>
    <col min="10" max="10" width="15.85546875" bestFit="1" customWidth="1"/>
    <col min="11" max="11" width="18.5703125" bestFit="1" customWidth="1"/>
    <col min="12" max="12" width="15" bestFit="1" customWidth="1"/>
    <col min="13" max="13" width="17.7109375" bestFit="1" customWidth="1"/>
    <col min="14" max="14" width="11.5703125" bestFit="1" customWidth="1"/>
    <col min="15" max="15" width="13.42578125" bestFit="1" customWidth="1"/>
    <col min="16" max="16" width="14.7109375" bestFit="1" customWidth="1"/>
    <col min="17" max="17" width="15.140625" bestFit="1" customWidth="1"/>
    <col min="18" max="18" width="13.42578125" bestFit="1" customWidth="1"/>
    <col min="19" max="19" width="10.5703125" bestFit="1" customWidth="1"/>
    <col min="20" max="20" width="12.28515625" bestFit="1" customWidth="1"/>
    <col min="21" max="21" width="10.28515625" style="1" bestFit="1" customWidth="1"/>
    <col min="22" max="22" width="13" bestFit="1" customWidth="1"/>
    <col min="23" max="23" width="17.42578125" bestFit="1" customWidth="1"/>
  </cols>
  <sheetData>
    <row r="1" spans="1:24" x14ac:dyDescent="0.25">
      <c r="A1" s="23" t="s">
        <v>942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t="s">
        <v>941</v>
      </c>
      <c r="V1" s="1" t="s">
        <v>940</v>
      </c>
      <c r="W1" t="s">
        <v>19</v>
      </c>
    </row>
    <row r="2" spans="1:24" x14ac:dyDescent="0.25">
      <c r="A2" s="23" t="s">
        <v>944</v>
      </c>
      <c r="B2" s="5" t="s">
        <v>22</v>
      </c>
      <c r="C2" s="5" t="s">
        <v>3</v>
      </c>
      <c r="D2" s="5" t="s">
        <v>22</v>
      </c>
      <c r="E2" s="6">
        <v>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f t="shared" ref="K2:K64" si="0">IF(I2=1,IF(J2=1,0,1),0)</f>
        <v>0</v>
      </c>
      <c r="L2" s="6">
        <v>0</v>
      </c>
      <c r="M2" s="6">
        <f t="shared" ref="M2:M64" si="1">IF(I2=1,IF(L2=1,0,1),0)</f>
        <v>0</v>
      </c>
      <c r="N2" s="6">
        <v>0</v>
      </c>
      <c r="O2" s="6">
        <f t="shared" ref="O2:O64" si="2">IF(I2=1,IF(N2=1,0,1),0)</f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3"/>
      <c r="V2" s="6">
        <v>3</v>
      </c>
      <c r="W2" s="7">
        <v>23.835128005332631</v>
      </c>
      <c r="X2" s="8"/>
    </row>
    <row r="3" spans="1:24" x14ac:dyDescent="0.25">
      <c r="A3" s="23" t="s">
        <v>945</v>
      </c>
      <c r="B3" s="9" t="s">
        <v>14</v>
      </c>
      <c r="C3" s="9" t="s">
        <v>4</v>
      </c>
      <c r="D3" s="5" t="s">
        <v>22</v>
      </c>
      <c r="E3" s="10">
        <v>0</v>
      </c>
      <c r="F3" s="10">
        <v>1</v>
      </c>
      <c r="G3" s="10">
        <v>0</v>
      </c>
      <c r="H3" s="10">
        <v>0</v>
      </c>
      <c r="I3" s="10">
        <v>0</v>
      </c>
      <c r="J3" s="10">
        <v>0</v>
      </c>
      <c r="K3" s="10">
        <f t="shared" si="0"/>
        <v>0</v>
      </c>
      <c r="L3" s="10">
        <v>0</v>
      </c>
      <c r="M3" s="10">
        <f t="shared" si="1"/>
        <v>0</v>
      </c>
      <c r="N3" s="10">
        <v>0</v>
      </c>
      <c r="O3" s="10">
        <f t="shared" si="2"/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3"/>
      <c r="V3" s="10">
        <v>4</v>
      </c>
      <c r="W3" s="11">
        <v>21.04377726656228</v>
      </c>
      <c r="X3" s="8"/>
    </row>
    <row r="4" spans="1:24" x14ac:dyDescent="0.25">
      <c r="A4" s="23" t="s">
        <v>946</v>
      </c>
      <c r="B4" s="12" t="s">
        <v>23</v>
      </c>
      <c r="C4" s="12" t="s">
        <v>5</v>
      </c>
      <c r="D4" s="5" t="s">
        <v>22</v>
      </c>
      <c r="E4" s="13">
        <v>0</v>
      </c>
      <c r="F4" s="13">
        <v>0</v>
      </c>
      <c r="G4" s="13">
        <v>1</v>
      </c>
      <c r="H4" s="13">
        <v>0</v>
      </c>
      <c r="I4" s="13">
        <v>0</v>
      </c>
      <c r="J4" s="13">
        <v>0</v>
      </c>
      <c r="K4" s="13">
        <f t="shared" si="0"/>
        <v>0</v>
      </c>
      <c r="L4" s="13">
        <v>0</v>
      </c>
      <c r="M4" s="13">
        <f t="shared" si="1"/>
        <v>0</v>
      </c>
      <c r="N4" s="13">
        <v>0</v>
      </c>
      <c r="O4" s="13">
        <f t="shared" si="2"/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3"/>
      <c r="V4" s="13">
        <v>5</v>
      </c>
      <c r="W4" s="14">
        <v>3.7578867638203568</v>
      </c>
      <c r="X4" s="8"/>
    </row>
    <row r="5" spans="1:24" x14ac:dyDescent="0.25">
      <c r="A5" s="23" t="s">
        <v>947</v>
      </c>
      <c r="B5" s="15" t="s">
        <v>24</v>
      </c>
      <c r="C5" s="15" t="s">
        <v>25</v>
      </c>
      <c r="D5" s="5" t="s">
        <v>22</v>
      </c>
      <c r="E5" s="16">
        <v>0</v>
      </c>
      <c r="F5" s="16">
        <v>0</v>
      </c>
      <c r="G5" s="16">
        <v>0</v>
      </c>
      <c r="H5" s="16">
        <v>1</v>
      </c>
      <c r="I5" s="16">
        <v>0</v>
      </c>
      <c r="J5" s="16">
        <v>0</v>
      </c>
      <c r="K5" s="16">
        <f t="shared" si="0"/>
        <v>0</v>
      </c>
      <c r="L5" s="16">
        <v>0</v>
      </c>
      <c r="M5" s="16">
        <f t="shared" si="1"/>
        <v>0</v>
      </c>
      <c r="N5" s="16">
        <v>0</v>
      </c>
      <c r="O5" s="16">
        <f t="shared" si="2"/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3"/>
      <c r="V5" s="16">
        <v>6</v>
      </c>
      <c r="W5" s="17">
        <v>0.94491768649620878</v>
      </c>
      <c r="X5" s="8"/>
    </row>
    <row r="6" spans="1:24" x14ac:dyDescent="0.25">
      <c r="A6" s="23" t="s">
        <v>948</v>
      </c>
      <c r="B6" s="18" t="s">
        <v>26</v>
      </c>
      <c r="C6" s="18" t="s">
        <v>7</v>
      </c>
      <c r="D6" s="5" t="s">
        <v>22</v>
      </c>
      <c r="E6" s="19">
        <v>0</v>
      </c>
      <c r="F6" s="19">
        <v>0</v>
      </c>
      <c r="G6" s="19">
        <v>0</v>
      </c>
      <c r="H6" s="19">
        <v>0</v>
      </c>
      <c r="I6" s="19">
        <v>1</v>
      </c>
      <c r="J6" s="19">
        <v>1</v>
      </c>
      <c r="K6" s="19">
        <f t="shared" si="0"/>
        <v>0</v>
      </c>
      <c r="L6" s="19">
        <v>0</v>
      </c>
      <c r="M6" s="19">
        <f t="shared" si="1"/>
        <v>1</v>
      </c>
      <c r="N6" s="19">
        <v>1</v>
      </c>
      <c r="O6" s="19">
        <f t="shared" si="2"/>
        <v>0</v>
      </c>
      <c r="P6" s="19">
        <v>1</v>
      </c>
      <c r="Q6" s="19">
        <v>0</v>
      </c>
      <c r="R6" s="19">
        <v>0</v>
      </c>
      <c r="S6" s="19">
        <v>0</v>
      </c>
      <c r="T6" s="19">
        <v>0</v>
      </c>
      <c r="U6" t="s">
        <v>27</v>
      </c>
      <c r="V6" s="19">
        <v>7</v>
      </c>
      <c r="W6" s="20">
        <v>0.50544516663028904</v>
      </c>
      <c r="X6" s="8"/>
    </row>
    <row r="7" spans="1:24" x14ac:dyDescent="0.25">
      <c r="A7" s="23" t="s">
        <v>949</v>
      </c>
      <c r="B7" s="18" t="s">
        <v>28</v>
      </c>
      <c r="C7" s="18" t="s">
        <v>7</v>
      </c>
      <c r="D7" s="5" t="s">
        <v>22</v>
      </c>
      <c r="E7" s="19">
        <v>0</v>
      </c>
      <c r="F7" s="19">
        <v>0</v>
      </c>
      <c r="G7" s="19">
        <v>0</v>
      </c>
      <c r="H7" s="19">
        <v>0</v>
      </c>
      <c r="I7" s="19">
        <v>1</v>
      </c>
      <c r="J7" s="19">
        <v>1</v>
      </c>
      <c r="K7" s="19">
        <f t="shared" si="0"/>
        <v>0</v>
      </c>
      <c r="L7" s="19">
        <v>0</v>
      </c>
      <c r="M7" s="19">
        <f t="shared" si="1"/>
        <v>1</v>
      </c>
      <c r="N7" s="19">
        <v>1</v>
      </c>
      <c r="O7" s="19">
        <f t="shared" si="2"/>
        <v>0</v>
      </c>
      <c r="P7" s="19">
        <v>1</v>
      </c>
      <c r="Q7" s="19">
        <v>0</v>
      </c>
      <c r="R7" s="19">
        <v>0</v>
      </c>
      <c r="S7" s="19">
        <v>0</v>
      </c>
      <c r="T7" s="19">
        <v>0</v>
      </c>
      <c r="U7" t="s">
        <v>29</v>
      </c>
      <c r="V7" s="19">
        <v>8</v>
      </c>
      <c r="W7" s="20">
        <v>0.39901798727062998</v>
      </c>
      <c r="X7" s="8"/>
    </row>
    <row r="8" spans="1:24" x14ac:dyDescent="0.25">
      <c r="A8" s="23" t="s">
        <v>950</v>
      </c>
      <c r="B8" s="18" t="s">
        <v>30</v>
      </c>
      <c r="C8" s="18" t="s">
        <v>7</v>
      </c>
      <c r="D8" s="5" t="s">
        <v>22</v>
      </c>
      <c r="E8" s="19">
        <v>0</v>
      </c>
      <c r="F8" s="19">
        <v>0</v>
      </c>
      <c r="G8" s="19">
        <v>0</v>
      </c>
      <c r="H8" s="19">
        <v>0</v>
      </c>
      <c r="I8" s="19">
        <v>1</v>
      </c>
      <c r="J8" s="19">
        <v>1</v>
      </c>
      <c r="K8" s="19">
        <f t="shared" si="0"/>
        <v>0</v>
      </c>
      <c r="L8" s="19">
        <v>1</v>
      </c>
      <c r="M8" s="19">
        <f t="shared" si="1"/>
        <v>0</v>
      </c>
      <c r="N8" s="19">
        <v>1</v>
      </c>
      <c r="O8" s="19">
        <f t="shared" si="2"/>
        <v>0</v>
      </c>
      <c r="P8" s="19">
        <v>1</v>
      </c>
      <c r="Q8" s="19">
        <v>0</v>
      </c>
      <c r="R8" s="19">
        <v>0</v>
      </c>
      <c r="S8" s="19">
        <v>0</v>
      </c>
      <c r="T8" s="19">
        <v>1</v>
      </c>
      <c r="U8" t="s">
        <v>31</v>
      </c>
      <c r="V8" s="19">
        <v>9</v>
      </c>
      <c r="W8" s="20">
        <v>4.0454532595289798E-2</v>
      </c>
      <c r="X8" s="8"/>
    </row>
    <row r="9" spans="1:24" x14ac:dyDescent="0.25">
      <c r="A9" s="23" t="s">
        <v>951</v>
      </c>
      <c r="B9" s="15" t="s">
        <v>32</v>
      </c>
      <c r="C9" s="15" t="s">
        <v>25</v>
      </c>
      <c r="D9" s="5" t="s">
        <v>22</v>
      </c>
      <c r="E9" s="16">
        <v>0</v>
      </c>
      <c r="F9" s="16">
        <v>0</v>
      </c>
      <c r="G9" s="16">
        <v>0</v>
      </c>
      <c r="H9" s="16">
        <v>1</v>
      </c>
      <c r="I9" s="16">
        <v>0</v>
      </c>
      <c r="J9" s="16">
        <v>0</v>
      </c>
      <c r="K9" s="16">
        <f t="shared" si="0"/>
        <v>0</v>
      </c>
      <c r="L9" s="16">
        <v>0</v>
      </c>
      <c r="M9" s="16">
        <f t="shared" si="1"/>
        <v>0</v>
      </c>
      <c r="N9" s="16">
        <v>0</v>
      </c>
      <c r="O9" s="16">
        <f t="shared" si="2"/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V9" s="16">
        <v>10</v>
      </c>
      <c r="W9" s="17">
        <v>0.37196574621837791</v>
      </c>
      <c r="X9" s="8"/>
    </row>
    <row r="10" spans="1:24" x14ac:dyDescent="0.25">
      <c r="A10" s="23" t="s">
        <v>952</v>
      </c>
      <c r="B10" s="18" t="s">
        <v>33</v>
      </c>
      <c r="C10" s="18" t="s">
        <v>7</v>
      </c>
      <c r="D10" s="5" t="s">
        <v>22</v>
      </c>
      <c r="E10" s="19">
        <v>0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f t="shared" si="0"/>
        <v>0</v>
      </c>
      <c r="L10" s="19">
        <v>1</v>
      </c>
      <c r="M10" s="19">
        <f t="shared" si="1"/>
        <v>0</v>
      </c>
      <c r="N10" s="19">
        <v>1</v>
      </c>
      <c r="O10" s="19">
        <f t="shared" si="2"/>
        <v>0</v>
      </c>
      <c r="P10" s="19">
        <v>1</v>
      </c>
      <c r="Q10" s="19">
        <v>0</v>
      </c>
      <c r="R10" s="19">
        <v>0</v>
      </c>
      <c r="S10" s="19">
        <v>0</v>
      </c>
      <c r="T10" s="19">
        <v>0</v>
      </c>
      <c r="U10" t="s">
        <v>34</v>
      </c>
      <c r="V10" s="19">
        <v>11</v>
      </c>
      <c r="W10" s="20">
        <v>0.13258761355657001</v>
      </c>
      <c r="X10" s="8"/>
    </row>
    <row r="11" spans="1:24" x14ac:dyDescent="0.25">
      <c r="A11" s="23" t="s">
        <v>953</v>
      </c>
      <c r="B11" s="18" t="s">
        <v>35</v>
      </c>
      <c r="C11" s="18" t="s">
        <v>7</v>
      </c>
      <c r="D11" s="5" t="s">
        <v>22</v>
      </c>
      <c r="E11" s="19">
        <v>0</v>
      </c>
      <c r="F11" s="19">
        <v>0</v>
      </c>
      <c r="G11" s="19">
        <v>0</v>
      </c>
      <c r="H11" s="19">
        <v>0</v>
      </c>
      <c r="I11" s="19">
        <v>1</v>
      </c>
      <c r="J11" s="19">
        <v>1</v>
      </c>
      <c r="K11" s="19">
        <f t="shared" si="0"/>
        <v>0</v>
      </c>
      <c r="L11" s="19">
        <v>1</v>
      </c>
      <c r="M11" s="19">
        <f t="shared" si="1"/>
        <v>0</v>
      </c>
      <c r="N11" s="19">
        <v>1</v>
      </c>
      <c r="O11" s="19">
        <f t="shared" si="2"/>
        <v>0</v>
      </c>
      <c r="P11" s="19">
        <v>1</v>
      </c>
      <c r="Q11" s="19">
        <v>0</v>
      </c>
      <c r="R11" s="19">
        <v>0</v>
      </c>
      <c r="S11" s="19">
        <v>0</v>
      </c>
      <c r="T11" s="19">
        <v>0</v>
      </c>
      <c r="U11" t="s">
        <v>36</v>
      </c>
      <c r="V11" s="19">
        <v>12</v>
      </c>
      <c r="W11" s="20">
        <v>7.7885033298792899E-2</v>
      </c>
      <c r="X11" s="8"/>
    </row>
    <row r="12" spans="1:24" x14ac:dyDescent="0.25">
      <c r="A12" s="23" t="s">
        <v>954</v>
      </c>
      <c r="B12" s="18" t="s">
        <v>37</v>
      </c>
      <c r="C12" s="18" t="s">
        <v>7</v>
      </c>
      <c r="D12" s="5" t="s">
        <v>22</v>
      </c>
      <c r="E12" s="19">
        <v>0</v>
      </c>
      <c r="F12" s="19">
        <v>0</v>
      </c>
      <c r="G12" s="19">
        <v>0</v>
      </c>
      <c r="H12" s="19">
        <v>0</v>
      </c>
      <c r="I12" s="19">
        <v>1</v>
      </c>
      <c r="J12" s="19">
        <v>1</v>
      </c>
      <c r="K12" s="19">
        <f t="shared" si="0"/>
        <v>0</v>
      </c>
      <c r="L12" s="19">
        <v>1</v>
      </c>
      <c r="M12" s="19">
        <f t="shared" si="1"/>
        <v>0</v>
      </c>
      <c r="N12" s="19">
        <v>1</v>
      </c>
      <c r="O12" s="19">
        <f t="shared" si="2"/>
        <v>0</v>
      </c>
      <c r="P12" s="19">
        <v>1</v>
      </c>
      <c r="Q12" s="19">
        <v>0</v>
      </c>
      <c r="R12" s="19">
        <v>0</v>
      </c>
      <c r="S12" s="19">
        <v>0</v>
      </c>
      <c r="T12" s="19">
        <v>0</v>
      </c>
      <c r="U12" t="s">
        <v>38</v>
      </c>
      <c r="V12" s="19">
        <v>13</v>
      </c>
      <c r="W12" s="20">
        <v>7.1040732354098093E-2</v>
      </c>
      <c r="X12" s="8"/>
    </row>
    <row r="13" spans="1:24" x14ac:dyDescent="0.25">
      <c r="A13" s="23" t="s">
        <v>955</v>
      </c>
      <c r="B13" s="18" t="s">
        <v>39</v>
      </c>
      <c r="C13" s="18" t="s">
        <v>7</v>
      </c>
      <c r="D13" s="5" t="s">
        <v>22</v>
      </c>
      <c r="E13" s="19">
        <v>0</v>
      </c>
      <c r="F13" s="19">
        <v>0</v>
      </c>
      <c r="G13" s="19">
        <v>0</v>
      </c>
      <c r="H13" s="19">
        <v>0</v>
      </c>
      <c r="I13" s="19">
        <v>1</v>
      </c>
      <c r="J13" s="19">
        <v>1</v>
      </c>
      <c r="K13" s="19">
        <f t="shared" si="0"/>
        <v>0</v>
      </c>
      <c r="L13" s="19">
        <v>0</v>
      </c>
      <c r="M13" s="19">
        <f t="shared" si="1"/>
        <v>1</v>
      </c>
      <c r="N13" s="19">
        <v>1</v>
      </c>
      <c r="O13" s="19">
        <f t="shared" si="2"/>
        <v>0</v>
      </c>
      <c r="P13" s="19">
        <v>1</v>
      </c>
      <c r="Q13" s="19">
        <v>0</v>
      </c>
      <c r="R13" s="19">
        <v>0</v>
      </c>
      <c r="S13" s="19">
        <v>0</v>
      </c>
      <c r="T13" s="19">
        <v>0</v>
      </c>
      <c r="U13" t="s">
        <v>40</v>
      </c>
      <c r="V13" s="19">
        <v>14</v>
      </c>
      <c r="W13" s="20">
        <v>2.0645883308816899E-2</v>
      </c>
      <c r="X13" s="8"/>
    </row>
    <row r="14" spans="1:24" x14ac:dyDescent="0.25">
      <c r="A14" s="23" t="s">
        <v>956</v>
      </c>
      <c r="B14" s="18" t="s">
        <v>41</v>
      </c>
      <c r="C14" s="18" t="s">
        <v>7</v>
      </c>
      <c r="D14" s="5" t="s">
        <v>22</v>
      </c>
      <c r="E14" s="19">
        <v>0</v>
      </c>
      <c r="F14" s="19">
        <v>0</v>
      </c>
      <c r="G14" s="19">
        <v>0</v>
      </c>
      <c r="H14" s="19">
        <v>0</v>
      </c>
      <c r="I14" s="19">
        <v>1</v>
      </c>
      <c r="J14" s="19">
        <v>1</v>
      </c>
      <c r="K14" s="19">
        <f t="shared" si="0"/>
        <v>0</v>
      </c>
      <c r="L14" s="19">
        <v>1</v>
      </c>
      <c r="M14" s="19">
        <f t="shared" si="1"/>
        <v>0</v>
      </c>
      <c r="N14" s="19">
        <v>1</v>
      </c>
      <c r="O14" s="19">
        <f t="shared" si="2"/>
        <v>0</v>
      </c>
      <c r="P14" s="19">
        <v>1</v>
      </c>
      <c r="Q14" s="19">
        <v>0</v>
      </c>
      <c r="R14" s="19">
        <v>0</v>
      </c>
      <c r="S14" s="19">
        <v>0</v>
      </c>
      <c r="T14" s="19">
        <v>0</v>
      </c>
      <c r="U14" t="s">
        <v>42</v>
      </c>
      <c r="V14" s="19">
        <v>15</v>
      </c>
      <c r="W14" s="20">
        <v>5.0453635310993498E-2</v>
      </c>
      <c r="X14" s="8"/>
    </row>
    <row r="15" spans="1:24" x14ac:dyDescent="0.25">
      <c r="A15" s="23" t="s">
        <v>957</v>
      </c>
      <c r="B15" s="18" t="s">
        <v>43</v>
      </c>
      <c r="C15" s="18" t="s">
        <v>7</v>
      </c>
      <c r="D15" s="5" t="s">
        <v>22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1</v>
      </c>
      <c r="K15" s="19">
        <f t="shared" si="0"/>
        <v>0</v>
      </c>
      <c r="L15" s="19">
        <v>1</v>
      </c>
      <c r="M15" s="19">
        <f t="shared" si="1"/>
        <v>0</v>
      </c>
      <c r="N15" s="19">
        <v>1</v>
      </c>
      <c r="O15" s="19">
        <f t="shared" si="2"/>
        <v>0</v>
      </c>
      <c r="P15" s="19">
        <v>1</v>
      </c>
      <c r="Q15" s="19">
        <v>0</v>
      </c>
      <c r="R15" s="19">
        <v>0</v>
      </c>
      <c r="S15" s="19">
        <v>0</v>
      </c>
      <c r="T15" s="19">
        <v>1</v>
      </c>
      <c r="U15" t="s">
        <v>44</v>
      </c>
      <c r="V15" s="19">
        <v>16</v>
      </c>
      <c r="W15" s="20">
        <v>1.9352848389106499E-2</v>
      </c>
      <c r="X15" s="8"/>
    </row>
    <row r="16" spans="1:24" x14ac:dyDescent="0.25">
      <c r="A16" s="23" t="s">
        <v>958</v>
      </c>
      <c r="B16" s="15" t="s">
        <v>45</v>
      </c>
      <c r="C16" s="15" t="s">
        <v>25</v>
      </c>
      <c r="D16" s="5" t="s">
        <v>22</v>
      </c>
      <c r="E16" s="16">
        <v>0</v>
      </c>
      <c r="F16" s="16">
        <v>0</v>
      </c>
      <c r="G16" s="16">
        <v>0</v>
      </c>
      <c r="H16" s="16">
        <v>1</v>
      </c>
      <c r="I16" s="16">
        <v>0</v>
      </c>
      <c r="J16" s="16">
        <v>0</v>
      </c>
      <c r="K16" s="16">
        <f t="shared" si="0"/>
        <v>0</v>
      </c>
      <c r="L16" s="16">
        <v>0</v>
      </c>
      <c r="M16" s="16">
        <f t="shared" si="1"/>
        <v>0</v>
      </c>
      <c r="N16" s="16">
        <v>0</v>
      </c>
      <c r="O16" s="16">
        <f t="shared" si="2"/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/>
      <c r="V16" s="16">
        <v>17</v>
      </c>
      <c r="W16" s="17">
        <v>0.29698675890460102</v>
      </c>
      <c r="X16" s="8"/>
    </row>
    <row r="17" spans="1:24" x14ac:dyDescent="0.25">
      <c r="A17" s="23" t="s">
        <v>959</v>
      </c>
      <c r="B17" s="18" t="s">
        <v>46</v>
      </c>
      <c r="C17" s="18" t="s">
        <v>7</v>
      </c>
      <c r="D17" s="5" t="s">
        <v>22</v>
      </c>
      <c r="E17" s="19">
        <v>0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f t="shared" si="0"/>
        <v>0</v>
      </c>
      <c r="L17" s="19">
        <v>1</v>
      </c>
      <c r="M17" s="19">
        <f t="shared" si="1"/>
        <v>0</v>
      </c>
      <c r="N17" s="19">
        <v>1</v>
      </c>
      <c r="O17" s="19">
        <f t="shared" si="2"/>
        <v>0</v>
      </c>
      <c r="P17" s="19">
        <v>1</v>
      </c>
      <c r="Q17" s="19">
        <v>0</v>
      </c>
      <c r="R17" s="19">
        <v>0</v>
      </c>
      <c r="S17" s="19">
        <v>0</v>
      </c>
      <c r="T17" s="19">
        <v>0</v>
      </c>
      <c r="U17" t="s">
        <v>47</v>
      </c>
      <c r="V17" s="19">
        <v>18</v>
      </c>
      <c r="W17" s="20">
        <v>0.10689880651861899</v>
      </c>
      <c r="X17" s="8"/>
    </row>
    <row r="18" spans="1:24" x14ac:dyDescent="0.25">
      <c r="A18" s="23" t="s">
        <v>960</v>
      </c>
      <c r="B18" s="18" t="s">
        <v>48</v>
      </c>
      <c r="C18" s="18" t="s">
        <v>7</v>
      </c>
      <c r="D18" s="5" t="s">
        <v>22</v>
      </c>
      <c r="E18" s="19">
        <v>0</v>
      </c>
      <c r="F18" s="19">
        <v>0</v>
      </c>
      <c r="G18" s="19">
        <v>0</v>
      </c>
      <c r="H18" s="19">
        <v>0</v>
      </c>
      <c r="I18" s="19">
        <v>1</v>
      </c>
      <c r="J18" s="19">
        <v>1</v>
      </c>
      <c r="K18" s="19">
        <f t="shared" si="0"/>
        <v>0</v>
      </c>
      <c r="L18" s="19">
        <v>1</v>
      </c>
      <c r="M18" s="19">
        <f t="shared" si="1"/>
        <v>0</v>
      </c>
      <c r="N18" s="19">
        <v>1</v>
      </c>
      <c r="O18" s="19">
        <f t="shared" si="2"/>
        <v>0</v>
      </c>
      <c r="P18" s="19">
        <v>1</v>
      </c>
      <c r="Q18" s="19">
        <v>0</v>
      </c>
      <c r="R18" s="19">
        <v>0</v>
      </c>
      <c r="S18" s="19">
        <v>0</v>
      </c>
      <c r="T18" s="19">
        <v>0</v>
      </c>
      <c r="U18" t="s">
        <v>49</v>
      </c>
      <c r="V18" s="19">
        <v>19</v>
      </c>
      <c r="W18" s="20">
        <v>7.1995783426221496E-2</v>
      </c>
      <c r="X18" s="8"/>
    </row>
    <row r="19" spans="1:24" x14ac:dyDescent="0.25">
      <c r="A19" s="23" t="s">
        <v>961</v>
      </c>
      <c r="B19" s="18" t="s">
        <v>50</v>
      </c>
      <c r="C19" s="18" t="s">
        <v>7</v>
      </c>
      <c r="D19" s="5" t="s">
        <v>22</v>
      </c>
      <c r="E19" s="19">
        <v>0</v>
      </c>
      <c r="F19" s="19">
        <v>0</v>
      </c>
      <c r="G19" s="19">
        <v>0</v>
      </c>
      <c r="H19" s="19">
        <v>0</v>
      </c>
      <c r="I19" s="19">
        <v>1</v>
      </c>
      <c r="J19" s="19">
        <v>1</v>
      </c>
      <c r="K19" s="19">
        <f t="shared" si="0"/>
        <v>0</v>
      </c>
      <c r="L19" s="19">
        <v>1</v>
      </c>
      <c r="M19" s="19">
        <f t="shared" si="1"/>
        <v>0</v>
      </c>
      <c r="N19" s="19">
        <v>1</v>
      </c>
      <c r="O19" s="19">
        <f t="shared" si="2"/>
        <v>0</v>
      </c>
      <c r="P19" s="19">
        <v>1</v>
      </c>
      <c r="Q19" s="19">
        <v>0</v>
      </c>
      <c r="R19" s="19">
        <v>0</v>
      </c>
      <c r="S19" s="19">
        <v>0</v>
      </c>
      <c r="T19" s="19">
        <v>0</v>
      </c>
      <c r="U19" t="s">
        <v>51</v>
      </c>
      <c r="V19" s="19">
        <v>20</v>
      </c>
      <c r="W19" s="20">
        <v>4.34581394338516E-2</v>
      </c>
      <c r="X19" s="8"/>
    </row>
    <row r="20" spans="1:24" x14ac:dyDescent="0.25">
      <c r="A20" s="23" t="s">
        <v>962</v>
      </c>
      <c r="B20" s="18" t="s">
        <v>52</v>
      </c>
      <c r="C20" s="18" t="s">
        <v>7</v>
      </c>
      <c r="D20" s="5" t="s">
        <v>22</v>
      </c>
      <c r="E20" s="19">
        <v>0</v>
      </c>
      <c r="F20" s="19">
        <v>0</v>
      </c>
      <c r="G20" s="19">
        <v>0</v>
      </c>
      <c r="H20" s="19">
        <v>0</v>
      </c>
      <c r="I20" s="19">
        <v>1</v>
      </c>
      <c r="J20" s="19">
        <v>1</v>
      </c>
      <c r="K20" s="19">
        <f t="shared" si="0"/>
        <v>0</v>
      </c>
      <c r="L20" s="19">
        <v>1</v>
      </c>
      <c r="M20" s="19">
        <f t="shared" si="1"/>
        <v>0</v>
      </c>
      <c r="N20" s="19">
        <v>1</v>
      </c>
      <c r="O20" s="19">
        <f t="shared" si="2"/>
        <v>0</v>
      </c>
      <c r="P20" s="19">
        <v>1</v>
      </c>
      <c r="Q20" s="19">
        <v>0</v>
      </c>
      <c r="R20" s="19">
        <v>0</v>
      </c>
      <c r="S20" s="19">
        <v>0</v>
      </c>
      <c r="T20" s="19">
        <v>0</v>
      </c>
      <c r="U20" t="s">
        <v>53</v>
      </c>
      <c r="V20" s="19">
        <v>21</v>
      </c>
      <c r="W20" s="20">
        <v>5.3838890653415301E-2</v>
      </c>
      <c r="X20" s="8"/>
    </row>
    <row r="21" spans="1:24" x14ac:dyDescent="0.25">
      <c r="A21" s="23" t="s">
        <v>963</v>
      </c>
      <c r="B21" s="18" t="s">
        <v>54</v>
      </c>
      <c r="C21" s="18" t="s">
        <v>7</v>
      </c>
      <c r="D21" s="5" t="s">
        <v>22</v>
      </c>
      <c r="E21" s="19">
        <v>0</v>
      </c>
      <c r="F21" s="19">
        <v>0</v>
      </c>
      <c r="G21" s="19">
        <v>0</v>
      </c>
      <c r="H21" s="19">
        <v>0</v>
      </c>
      <c r="I21" s="19">
        <v>1</v>
      </c>
      <c r="J21" s="19">
        <v>1</v>
      </c>
      <c r="K21" s="19">
        <f t="shared" si="0"/>
        <v>0</v>
      </c>
      <c r="L21" s="19">
        <v>1</v>
      </c>
      <c r="M21" s="19">
        <f t="shared" si="1"/>
        <v>0</v>
      </c>
      <c r="N21" s="19">
        <v>1</v>
      </c>
      <c r="O21" s="19">
        <f t="shared" si="2"/>
        <v>0</v>
      </c>
      <c r="P21" s="19">
        <v>1</v>
      </c>
      <c r="Q21" s="19">
        <v>0</v>
      </c>
      <c r="R21" s="19">
        <v>0</v>
      </c>
      <c r="S21" s="19">
        <v>0</v>
      </c>
      <c r="T21" s="19">
        <v>1</v>
      </c>
      <c r="U21" t="s">
        <v>55</v>
      </c>
      <c r="V21" s="19">
        <v>22</v>
      </c>
      <c r="W21" s="20">
        <v>2.0795138872493599E-2</v>
      </c>
      <c r="X21" s="8"/>
    </row>
    <row r="22" spans="1:24" x14ac:dyDescent="0.25">
      <c r="A22" s="23" t="s">
        <v>964</v>
      </c>
      <c r="B22" s="15" t="s">
        <v>56</v>
      </c>
      <c r="C22" s="15" t="s">
        <v>25</v>
      </c>
      <c r="D22" s="5" t="s">
        <v>22</v>
      </c>
      <c r="E22" s="16">
        <v>0</v>
      </c>
      <c r="F22" s="16">
        <v>0</v>
      </c>
      <c r="G22" s="16">
        <v>0</v>
      </c>
      <c r="H22" s="16">
        <v>1</v>
      </c>
      <c r="I22" s="16">
        <v>0</v>
      </c>
      <c r="J22" s="16">
        <v>0</v>
      </c>
      <c r="K22" s="16">
        <f t="shared" si="0"/>
        <v>0</v>
      </c>
      <c r="L22" s="16">
        <v>0</v>
      </c>
      <c r="M22" s="16">
        <f t="shared" si="1"/>
        <v>0</v>
      </c>
      <c r="N22" s="16">
        <v>0</v>
      </c>
      <c r="O22" s="16">
        <f t="shared" si="2"/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/>
      <c r="V22" s="16">
        <v>23</v>
      </c>
      <c r="W22" s="17">
        <v>1.9448329000918301</v>
      </c>
      <c r="X22" s="8"/>
    </row>
    <row r="23" spans="1:24" x14ac:dyDescent="0.25">
      <c r="A23" s="23" t="s">
        <v>965</v>
      </c>
      <c r="B23" s="18" t="s">
        <v>56</v>
      </c>
      <c r="C23" s="18" t="s">
        <v>7</v>
      </c>
      <c r="D23" s="5" t="s">
        <v>22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  <c r="J23" s="19">
        <v>0</v>
      </c>
      <c r="K23" s="19">
        <f t="shared" si="0"/>
        <v>1</v>
      </c>
      <c r="L23" s="19">
        <v>0</v>
      </c>
      <c r="M23" s="19">
        <f t="shared" si="1"/>
        <v>1</v>
      </c>
      <c r="N23" s="19">
        <v>1</v>
      </c>
      <c r="O23" s="19">
        <f t="shared" si="2"/>
        <v>0</v>
      </c>
      <c r="P23" s="19">
        <v>1</v>
      </c>
      <c r="Q23" s="19">
        <v>0</v>
      </c>
      <c r="R23" s="19">
        <v>0</v>
      </c>
      <c r="S23" s="19">
        <v>0</v>
      </c>
      <c r="T23" s="19">
        <v>0</v>
      </c>
      <c r="U23" t="s">
        <v>57</v>
      </c>
      <c r="V23" s="19">
        <v>24</v>
      </c>
      <c r="W23" s="20">
        <v>1.9448329000918301</v>
      </c>
      <c r="X23" s="8"/>
    </row>
    <row r="24" spans="1:24" x14ac:dyDescent="0.25">
      <c r="A24" s="23" t="s">
        <v>966</v>
      </c>
      <c r="B24" s="15" t="s">
        <v>58</v>
      </c>
      <c r="C24" s="15" t="s">
        <v>25</v>
      </c>
      <c r="D24" s="5" t="s">
        <v>22</v>
      </c>
      <c r="E24" s="16">
        <v>0</v>
      </c>
      <c r="F24" s="16">
        <v>0</v>
      </c>
      <c r="G24" s="16">
        <v>0</v>
      </c>
      <c r="H24" s="16">
        <v>1</v>
      </c>
      <c r="I24" s="16">
        <v>0</v>
      </c>
      <c r="J24" s="16">
        <v>0</v>
      </c>
      <c r="K24" s="16">
        <f t="shared" si="0"/>
        <v>0</v>
      </c>
      <c r="L24" s="16">
        <v>0</v>
      </c>
      <c r="M24" s="16">
        <f t="shared" si="1"/>
        <v>0</v>
      </c>
      <c r="N24" s="16">
        <v>0</v>
      </c>
      <c r="O24" s="16">
        <f t="shared" si="2"/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/>
      <c r="V24" s="16">
        <v>25</v>
      </c>
      <c r="W24" s="17">
        <v>0.19918367210933907</v>
      </c>
      <c r="X24" s="8"/>
    </row>
    <row r="25" spans="1:24" x14ac:dyDescent="0.25">
      <c r="A25" s="23" t="s">
        <v>967</v>
      </c>
      <c r="B25" s="18" t="s">
        <v>59</v>
      </c>
      <c r="C25" s="18" t="s">
        <v>7</v>
      </c>
      <c r="D25" s="5" t="s">
        <v>22</v>
      </c>
      <c r="E25" s="19">
        <v>0</v>
      </c>
      <c r="F25" s="19">
        <v>0</v>
      </c>
      <c r="G25" s="19">
        <v>0</v>
      </c>
      <c r="H25" s="19">
        <v>0</v>
      </c>
      <c r="I25" s="19">
        <v>1</v>
      </c>
      <c r="J25" s="19">
        <v>1</v>
      </c>
      <c r="K25" s="19">
        <f t="shared" si="0"/>
        <v>0</v>
      </c>
      <c r="L25" s="19">
        <v>1</v>
      </c>
      <c r="M25" s="19">
        <f t="shared" si="1"/>
        <v>0</v>
      </c>
      <c r="N25" s="19">
        <v>1</v>
      </c>
      <c r="O25" s="19">
        <f t="shared" si="2"/>
        <v>0</v>
      </c>
      <c r="P25" s="19">
        <v>1</v>
      </c>
      <c r="Q25" s="19">
        <v>0</v>
      </c>
      <c r="R25" s="19">
        <v>0</v>
      </c>
      <c r="S25" s="19">
        <v>0</v>
      </c>
      <c r="T25" s="19">
        <v>0</v>
      </c>
      <c r="U25" t="s">
        <v>60</v>
      </c>
      <c r="V25" s="19">
        <v>26</v>
      </c>
      <c r="W25" s="20">
        <v>0.11647761923383899</v>
      </c>
      <c r="X25" s="8"/>
    </row>
    <row r="26" spans="1:24" x14ac:dyDescent="0.25">
      <c r="A26" s="23" t="s">
        <v>968</v>
      </c>
      <c r="B26" s="18" t="s">
        <v>61</v>
      </c>
      <c r="C26" s="18" t="s">
        <v>7</v>
      </c>
      <c r="D26" s="5" t="s">
        <v>22</v>
      </c>
      <c r="E26" s="19">
        <v>0</v>
      </c>
      <c r="F26" s="19">
        <v>0</v>
      </c>
      <c r="G26" s="19">
        <v>0</v>
      </c>
      <c r="H26" s="19">
        <v>0</v>
      </c>
      <c r="I26" s="19">
        <v>1</v>
      </c>
      <c r="J26" s="19">
        <v>1</v>
      </c>
      <c r="K26" s="19">
        <f t="shared" si="0"/>
        <v>0</v>
      </c>
      <c r="L26" s="19">
        <v>1</v>
      </c>
      <c r="M26" s="19">
        <f t="shared" si="1"/>
        <v>0</v>
      </c>
      <c r="N26" s="19">
        <v>1</v>
      </c>
      <c r="O26" s="19">
        <f t="shared" si="2"/>
        <v>0</v>
      </c>
      <c r="P26" s="19">
        <v>1</v>
      </c>
      <c r="Q26" s="19">
        <v>0</v>
      </c>
      <c r="R26" s="19">
        <v>0</v>
      </c>
      <c r="S26" s="19">
        <v>0</v>
      </c>
      <c r="T26" s="19">
        <v>0</v>
      </c>
      <c r="U26" t="s">
        <v>62</v>
      </c>
      <c r="V26" s="19">
        <v>27</v>
      </c>
      <c r="W26" s="20">
        <v>5.19663743013285E-2</v>
      </c>
      <c r="X26" s="8"/>
    </row>
    <row r="27" spans="1:24" x14ac:dyDescent="0.25">
      <c r="A27" s="23" t="s">
        <v>969</v>
      </c>
      <c r="B27" s="18" t="s">
        <v>63</v>
      </c>
      <c r="C27" s="18" t="s">
        <v>7</v>
      </c>
      <c r="D27" s="5" t="s">
        <v>22</v>
      </c>
      <c r="E27" s="19">
        <v>0</v>
      </c>
      <c r="F27" s="19">
        <v>0</v>
      </c>
      <c r="G27" s="19">
        <v>0</v>
      </c>
      <c r="H27" s="19">
        <v>0</v>
      </c>
      <c r="I27" s="19">
        <v>1</v>
      </c>
      <c r="J27" s="19">
        <v>1</v>
      </c>
      <c r="K27" s="19">
        <f t="shared" si="0"/>
        <v>0</v>
      </c>
      <c r="L27" s="19">
        <v>1</v>
      </c>
      <c r="M27" s="19">
        <f t="shared" si="1"/>
        <v>0</v>
      </c>
      <c r="N27" s="19">
        <v>1</v>
      </c>
      <c r="O27" s="19">
        <f t="shared" si="2"/>
        <v>0</v>
      </c>
      <c r="P27" s="19">
        <v>1</v>
      </c>
      <c r="Q27" s="19">
        <v>0</v>
      </c>
      <c r="R27" s="19">
        <v>0</v>
      </c>
      <c r="S27" s="19">
        <v>0</v>
      </c>
      <c r="T27" s="19">
        <v>1</v>
      </c>
      <c r="U27" t="s">
        <v>64</v>
      </c>
      <c r="V27" s="19">
        <v>28</v>
      </c>
      <c r="W27" s="20">
        <v>3.0739678574171599E-2</v>
      </c>
      <c r="X27" s="8"/>
    </row>
    <row r="28" spans="1:24" x14ac:dyDescent="0.25">
      <c r="A28" s="23" t="s">
        <v>970</v>
      </c>
      <c r="B28" s="12" t="s">
        <v>65</v>
      </c>
      <c r="C28" s="12" t="s">
        <v>5</v>
      </c>
      <c r="D28" s="5" t="s">
        <v>22</v>
      </c>
      <c r="E28" s="13">
        <v>0</v>
      </c>
      <c r="F28" s="13">
        <v>0</v>
      </c>
      <c r="G28" s="13">
        <v>1</v>
      </c>
      <c r="H28" s="13">
        <v>0</v>
      </c>
      <c r="I28" s="13">
        <v>0</v>
      </c>
      <c r="J28" s="13">
        <v>0</v>
      </c>
      <c r="K28" s="13">
        <f t="shared" si="0"/>
        <v>0</v>
      </c>
      <c r="L28" s="13">
        <v>0</v>
      </c>
      <c r="M28" s="13">
        <f t="shared" si="1"/>
        <v>0</v>
      </c>
      <c r="N28" s="13">
        <v>0</v>
      </c>
      <c r="O28" s="13">
        <f t="shared" si="2"/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/>
      <c r="V28" s="13">
        <v>29</v>
      </c>
      <c r="W28" s="14">
        <v>5.299078175197331</v>
      </c>
      <c r="X28" s="8"/>
    </row>
    <row r="29" spans="1:24" x14ac:dyDescent="0.25">
      <c r="A29" s="23" t="s">
        <v>971</v>
      </c>
      <c r="B29" s="15" t="s">
        <v>66</v>
      </c>
      <c r="C29" s="15" t="s">
        <v>25</v>
      </c>
      <c r="D29" s="5" t="s">
        <v>22</v>
      </c>
      <c r="E29" s="16">
        <v>0</v>
      </c>
      <c r="F29" s="16">
        <v>0</v>
      </c>
      <c r="G29" s="16">
        <v>0</v>
      </c>
      <c r="H29" s="16">
        <v>1</v>
      </c>
      <c r="I29" s="16">
        <v>0</v>
      </c>
      <c r="J29" s="16">
        <v>0</v>
      </c>
      <c r="K29" s="16">
        <f t="shared" si="0"/>
        <v>0</v>
      </c>
      <c r="L29" s="16">
        <v>0</v>
      </c>
      <c r="M29" s="16">
        <f t="shared" si="1"/>
        <v>0</v>
      </c>
      <c r="N29" s="16">
        <v>0</v>
      </c>
      <c r="O29" s="16">
        <f t="shared" si="2"/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/>
      <c r="V29" s="16">
        <v>30</v>
      </c>
      <c r="W29" s="17">
        <v>0.57658003747432773</v>
      </c>
      <c r="X29" s="8"/>
    </row>
    <row r="30" spans="1:24" x14ac:dyDescent="0.25">
      <c r="A30" s="23" t="s">
        <v>972</v>
      </c>
      <c r="B30" s="18" t="s">
        <v>67</v>
      </c>
      <c r="C30" s="18" t="s">
        <v>7</v>
      </c>
      <c r="D30" s="5" t="s">
        <v>22</v>
      </c>
      <c r="E30" s="19">
        <v>0</v>
      </c>
      <c r="F30" s="19">
        <v>0</v>
      </c>
      <c r="G30" s="19">
        <v>0</v>
      </c>
      <c r="H30" s="19">
        <v>0</v>
      </c>
      <c r="I30" s="19">
        <v>1</v>
      </c>
      <c r="J30" s="19">
        <v>1</v>
      </c>
      <c r="K30" s="19">
        <f t="shared" si="0"/>
        <v>0</v>
      </c>
      <c r="L30" s="19">
        <v>1</v>
      </c>
      <c r="M30" s="19">
        <f t="shared" si="1"/>
        <v>0</v>
      </c>
      <c r="N30" s="19">
        <v>1</v>
      </c>
      <c r="O30" s="19">
        <f t="shared" si="2"/>
        <v>0</v>
      </c>
      <c r="P30" s="19">
        <v>1</v>
      </c>
      <c r="Q30" s="19">
        <v>0</v>
      </c>
      <c r="R30" s="19">
        <v>0</v>
      </c>
      <c r="S30" s="19">
        <v>0</v>
      </c>
      <c r="T30" s="19">
        <v>0</v>
      </c>
      <c r="U30" t="s">
        <v>68</v>
      </c>
      <c r="V30" s="19">
        <v>31</v>
      </c>
      <c r="W30" s="20">
        <v>0.45328810823132298</v>
      </c>
      <c r="X30" s="8"/>
    </row>
    <row r="31" spans="1:24" x14ac:dyDescent="0.25">
      <c r="A31" s="23" t="s">
        <v>973</v>
      </c>
      <c r="B31" s="18" t="s">
        <v>69</v>
      </c>
      <c r="C31" s="18" t="s">
        <v>7</v>
      </c>
      <c r="D31" s="5" t="s">
        <v>22</v>
      </c>
      <c r="E31" s="19">
        <v>0</v>
      </c>
      <c r="F31" s="19">
        <v>0</v>
      </c>
      <c r="G31" s="19">
        <v>0</v>
      </c>
      <c r="H31" s="19">
        <v>0</v>
      </c>
      <c r="I31" s="19">
        <v>1</v>
      </c>
      <c r="J31" s="19">
        <v>1</v>
      </c>
      <c r="K31" s="19">
        <f t="shared" si="0"/>
        <v>0</v>
      </c>
      <c r="L31" s="19">
        <v>1</v>
      </c>
      <c r="M31" s="19">
        <f t="shared" si="1"/>
        <v>0</v>
      </c>
      <c r="N31" s="19">
        <v>1</v>
      </c>
      <c r="O31" s="19">
        <f t="shared" si="2"/>
        <v>0</v>
      </c>
      <c r="P31" s="19">
        <v>1</v>
      </c>
      <c r="Q31" s="19">
        <v>0</v>
      </c>
      <c r="R31" s="19">
        <v>0</v>
      </c>
      <c r="S31" s="19">
        <v>0</v>
      </c>
      <c r="T31" s="19">
        <v>0</v>
      </c>
      <c r="U31" t="s">
        <v>70</v>
      </c>
      <c r="V31" s="19">
        <v>32</v>
      </c>
      <c r="W31" s="20">
        <v>2.8030455004739999E-2</v>
      </c>
      <c r="X31" s="8"/>
    </row>
    <row r="32" spans="1:24" x14ac:dyDescent="0.25">
      <c r="A32" s="23" t="s">
        <v>974</v>
      </c>
      <c r="B32" s="18" t="s">
        <v>71</v>
      </c>
      <c r="C32" s="18" t="s">
        <v>7</v>
      </c>
      <c r="D32" s="5" t="s">
        <v>22</v>
      </c>
      <c r="E32" s="19">
        <v>0</v>
      </c>
      <c r="F32" s="19">
        <v>0</v>
      </c>
      <c r="G32" s="19">
        <v>0</v>
      </c>
      <c r="H32" s="19">
        <v>0</v>
      </c>
      <c r="I32" s="19">
        <v>1</v>
      </c>
      <c r="J32" s="19">
        <v>1</v>
      </c>
      <c r="K32" s="19">
        <f t="shared" si="0"/>
        <v>0</v>
      </c>
      <c r="L32" s="19">
        <v>1</v>
      </c>
      <c r="M32" s="19">
        <f t="shared" si="1"/>
        <v>0</v>
      </c>
      <c r="N32" s="19">
        <v>1</v>
      </c>
      <c r="O32" s="19">
        <f t="shared" si="2"/>
        <v>0</v>
      </c>
      <c r="P32" s="19">
        <v>1</v>
      </c>
      <c r="Q32" s="19">
        <v>0</v>
      </c>
      <c r="R32" s="19">
        <v>0</v>
      </c>
      <c r="S32" s="19">
        <v>0</v>
      </c>
      <c r="T32" s="19">
        <v>0</v>
      </c>
      <c r="U32" t="s">
        <v>72</v>
      </c>
      <c r="V32" s="19">
        <v>33</v>
      </c>
      <c r="W32" s="20">
        <v>9.5261474238264698E-2</v>
      </c>
      <c r="X32" s="8"/>
    </row>
    <row r="33" spans="1:24" x14ac:dyDescent="0.25">
      <c r="A33" s="23" t="s">
        <v>975</v>
      </c>
      <c r="B33" s="15" t="s">
        <v>73</v>
      </c>
      <c r="C33" s="15" t="s">
        <v>25</v>
      </c>
      <c r="D33" s="5" t="s">
        <v>22</v>
      </c>
      <c r="E33" s="16">
        <v>0</v>
      </c>
      <c r="F33" s="16">
        <v>0</v>
      </c>
      <c r="G33" s="16">
        <v>0</v>
      </c>
      <c r="H33" s="16">
        <v>1</v>
      </c>
      <c r="I33" s="16">
        <v>0</v>
      </c>
      <c r="J33" s="16">
        <v>0</v>
      </c>
      <c r="K33" s="16">
        <f t="shared" si="0"/>
        <v>0</v>
      </c>
      <c r="L33" s="16">
        <v>0</v>
      </c>
      <c r="M33" s="16">
        <f t="shared" si="1"/>
        <v>0</v>
      </c>
      <c r="N33" s="16">
        <v>0</v>
      </c>
      <c r="O33" s="16">
        <f t="shared" si="2"/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/>
      <c r="V33" s="16">
        <v>34</v>
      </c>
      <c r="W33" s="17">
        <v>2.4568068648757193</v>
      </c>
      <c r="X33" s="8"/>
    </row>
    <row r="34" spans="1:24" x14ac:dyDescent="0.25">
      <c r="A34" s="23" t="s">
        <v>976</v>
      </c>
      <c r="B34" s="18" t="s">
        <v>74</v>
      </c>
      <c r="C34" s="18" t="s">
        <v>7</v>
      </c>
      <c r="D34" s="5" t="s">
        <v>22</v>
      </c>
      <c r="E34" s="19">
        <v>0</v>
      </c>
      <c r="F34" s="19">
        <v>0</v>
      </c>
      <c r="G34" s="19">
        <v>0</v>
      </c>
      <c r="H34" s="19">
        <v>0</v>
      </c>
      <c r="I34" s="19">
        <v>1</v>
      </c>
      <c r="J34" s="19">
        <v>0</v>
      </c>
      <c r="K34" s="19">
        <f t="shared" si="0"/>
        <v>1</v>
      </c>
      <c r="L34" s="19">
        <v>0</v>
      </c>
      <c r="M34" s="19">
        <f t="shared" si="1"/>
        <v>1</v>
      </c>
      <c r="N34" s="19">
        <v>1</v>
      </c>
      <c r="O34" s="19">
        <f t="shared" si="2"/>
        <v>0</v>
      </c>
      <c r="P34" s="19">
        <v>1</v>
      </c>
      <c r="Q34" s="19">
        <v>0</v>
      </c>
      <c r="R34" s="19">
        <v>0</v>
      </c>
      <c r="S34" s="19">
        <v>0</v>
      </c>
      <c r="T34" s="19">
        <v>0</v>
      </c>
      <c r="U34" t="s">
        <v>75</v>
      </c>
      <c r="V34" s="19">
        <v>35</v>
      </c>
      <c r="W34" s="20">
        <v>2.3299064887270902</v>
      </c>
      <c r="X34" s="8"/>
    </row>
    <row r="35" spans="1:24" x14ac:dyDescent="0.25">
      <c r="A35" s="23" t="s">
        <v>977</v>
      </c>
      <c r="B35" s="18" t="s">
        <v>76</v>
      </c>
      <c r="C35" s="18" t="s">
        <v>7</v>
      </c>
      <c r="D35" s="5" t="s">
        <v>22</v>
      </c>
      <c r="E35" s="19">
        <v>0</v>
      </c>
      <c r="F35" s="19">
        <v>0</v>
      </c>
      <c r="G35" s="19">
        <v>0</v>
      </c>
      <c r="H35" s="19">
        <v>0</v>
      </c>
      <c r="I35" s="19">
        <v>1</v>
      </c>
      <c r="J35" s="19">
        <v>0</v>
      </c>
      <c r="K35" s="19">
        <f t="shared" si="0"/>
        <v>1</v>
      </c>
      <c r="L35" s="19">
        <v>0</v>
      </c>
      <c r="M35" s="19">
        <f t="shared" si="1"/>
        <v>1</v>
      </c>
      <c r="N35" s="19">
        <v>1</v>
      </c>
      <c r="O35" s="19">
        <f t="shared" si="2"/>
        <v>0</v>
      </c>
      <c r="P35" s="19">
        <v>1</v>
      </c>
      <c r="Q35" s="19">
        <v>0</v>
      </c>
      <c r="R35" s="19">
        <v>0</v>
      </c>
      <c r="S35" s="19">
        <v>0</v>
      </c>
      <c r="T35" s="19">
        <v>0</v>
      </c>
      <c r="U35" t="s">
        <v>77</v>
      </c>
      <c r="V35" s="19">
        <v>36</v>
      </c>
      <c r="W35" s="20">
        <v>5.9928252620356302E-2</v>
      </c>
      <c r="X35" s="8"/>
    </row>
    <row r="36" spans="1:24" x14ac:dyDescent="0.25">
      <c r="A36" s="23" t="s">
        <v>978</v>
      </c>
      <c r="B36" s="18" t="s">
        <v>78</v>
      </c>
      <c r="C36" s="18" t="s">
        <v>7</v>
      </c>
      <c r="D36" s="5" t="s">
        <v>22</v>
      </c>
      <c r="E36" s="19">
        <v>0</v>
      </c>
      <c r="F36" s="19">
        <v>0</v>
      </c>
      <c r="G36" s="19">
        <v>0</v>
      </c>
      <c r="H36" s="19">
        <v>0</v>
      </c>
      <c r="I36" s="19">
        <v>1</v>
      </c>
      <c r="J36" s="19">
        <v>0</v>
      </c>
      <c r="K36" s="19">
        <f t="shared" si="0"/>
        <v>1</v>
      </c>
      <c r="L36" s="19">
        <v>0</v>
      </c>
      <c r="M36" s="19">
        <f t="shared" si="1"/>
        <v>1</v>
      </c>
      <c r="N36" s="19">
        <v>1</v>
      </c>
      <c r="O36" s="19">
        <f t="shared" si="2"/>
        <v>0</v>
      </c>
      <c r="P36" s="19">
        <v>1</v>
      </c>
      <c r="Q36" s="19">
        <v>0</v>
      </c>
      <c r="R36" s="19">
        <v>0</v>
      </c>
      <c r="S36" s="19">
        <v>0</v>
      </c>
      <c r="T36" s="19">
        <v>1</v>
      </c>
      <c r="U36" t="s">
        <v>79</v>
      </c>
      <c r="V36" s="19">
        <v>37</v>
      </c>
      <c r="W36" s="20">
        <v>6.6972123528272906E-2</v>
      </c>
      <c r="X36" s="8"/>
    </row>
    <row r="37" spans="1:24" x14ac:dyDescent="0.25">
      <c r="A37" s="23" t="s">
        <v>979</v>
      </c>
      <c r="B37" s="15" t="s">
        <v>80</v>
      </c>
      <c r="C37" s="15" t="s">
        <v>25</v>
      </c>
      <c r="D37" s="5" t="s">
        <v>22</v>
      </c>
      <c r="E37" s="16">
        <v>0</v>
      </c>
      <c r="F37" s="16">
        <v>0</v>
      </c>
      <c r="G37" s="16">
        <v>0</v>
      </c>
      <c r="H37" s="16">
        <v>1</v>
      </c>
      <c r="I37" s="16">
        <v>0</v>
      </c>
      <c r="J37" s="16">
        <v>0</v>
      </c>
      <c r="K37" s="16">
        <f t="shared" si="0"/>
        <v>0</v>
      </c>
      <c r="L37" s="16">
        <v>0</v>
      </c>
      <c r="M37" s="16">
        <f t="shared" si="1"/>
        <v>0</v>
      </c>
      <c r="N37" s="16">
        <v>0</v>
      </c>
      <c r="O37" s="16">
        <f t="shared" si="2"/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/>
      <c r="V37" s="16">
        <v>38</v>
      </c>
      <c r="W37" s="17">
        <v>0.58121541448817149</v>
      </c>
      <c r="X37" s="8"/>
    </row>
    <row r="38" spans="1:24" x14ac:dyDescent="0.25">
      <c r="A38" s="23" t="s">
        <v>980</v>
      </c>
      <c r="B38" s="18" t="s">
        <v>81</v>
      </c>
      <c r="C38" s="18" t="s">
        <v>7</v>
      </c>
      <c r="D38" s="5" t="s">
        <v>22</v>
      </c>
      <c r="E38" s="19">
        <v>0</v>
      </c>
      <c r="F38" s="19">
        <v>0</v>
      </c>
      <c r="G38" s="19">
        <v>0</v>
      </c>
      <c r="H38" s="19">
        <v>0</v>
      </c>
      <c r="I38" s="19">
        <v>1</v>
      </c>
      <c r="J38" s="19">
        <v>1</v>
      </c>
      <c r="K38" s="19">
        <f t="shared" si="0"/>
        <v>0</v>
      </c>
      <c r="L38" s="19">
        <v>1</v>
      </c>
      <c r="M38" s="19">
        <f t="shared" si="1"/>
        <v>0</v>
      </c>
      <c r="N38" s="19">
        <v>1</v>
      </c>
      <c r="O38" s="19">
        <f t="shared" si="2"/>
        <v>0</v>
      </c>
      <c r="P38" s="19">
        <v>1</v>
      </c>
      <c r="Q38" s="19">
        <v>0</v>
      </c>
      <c r="R38" s="19">
        <v>0</v>
      </c>
      <c r="S38" s="19">
        <v>0</v>
      </c>
      <c r="T38" s="19">
        <v>0</v>
      </c>
      <c r="U38" t="s">
        <v>82</v>
      </c>
      <c r="V38" s="19">
        <v>39</v>
      </c>
      <c r="W38" s="20">
        <v>0.47122464077030402</v>
      </c>
      <c r="X38" s="8"/>
    </row>
    <row r="39" spans="1:24" x14ac:dyDescent="0.25">
      <c r="A39" s="23" t="s">
        <v>981</v>
      </c>
      <c r="B39" s="18" t="s">
        <v>83</v>
      </c>
      <c r="C39" s="18" t="s">
        <v>7</v>
      </c>
      <c r="D39" s="5" t="s">
        <v>22</v>
      </c>
      <c r="E39" s="19">
        <v>0</v>
      </c>
      <c r="F39" s="19">
        <v>0</v>
      </c>
      <c r="G39" s="19">
        <v>0</v>
      </c>
      <c r="H39" s="19">
        <v>0</v>
      </c>
      <c r="I39" s="19">
        <v>1</v>
      </c>
      <c r="J39" s="19">
        <v>1</v>
      </c>
      <c r="K39" s="19">
        <f t="shared" si="0"/>
        <v>0</v>
      </c>
      <c r="L39" s="19">
        <v>1</v>
      </c>
      <c r="M39" s="19">
        <f t="shared" si="1"/>
        <v>0</v>
      </c>
      <c r="N39" s="19">
        <v>1</v>
      </c>
      <c r="O39" s="19">
        <f t="shared" si="2"/>
        <v>0</v>
      </c>
      <c r="P39" s="19">
        <v>1</v>
      </c>
      <c r="Q39" s="19">
        <v>0</v>
      </c>
      <c r="R39" s="19">
        <v>0</v>
      </c>
      <c r="S39" s="19">
        <v>0</v>
      </c>
      <c r="T39" s="19">
        <v>0</v>
      </c>
      <c r="U39" t="s">
        <v>84</v>
      </c>
      <c r="V39" s="19">
        <v>40</v>
      </c>
      <c r="W39" s="20">
        <v>3.3001269226300797E-2</v>
      </c>
      <c r="X39" s="8"/>
    </row>
    <row r="40" spans="1:24" x14ac:dyDescent="0.25">
      <c r="A40" s="23" t="s">
        <v>982</v>
      </c>
      <c r="B40" s="18" t="s">
        <v>85</v>
      </c>
      <c r="C40" s="18" t="s">
        <v>7</v>
      </c>
      <c r="D40" s="5" t="s">
        <v>22</v>
      </c>
      <c r="E40" s="19">
        <v>0</v>
      </c>
      <c r="F40" s="19">
        <v>0</v>
      </c>
      <c r="G40" s="19">
        <v>0</v>
      </c>
      <c r="H40" s="19">
        <v>0</v>
      </c>
      <c r="I40" s="19">
        <v>1</v>
      </c>
      <c r="J40" s="19">
        <v>1</v>
      </c>
      <c r="K40" s="19">
        <f t="shared" si="0"/>
        <v>0</v>
      </c>
      <c r="L40" s="19">
        <v>1</v>
      </c>
      <c r="M40" s="19">
        <f t="shared" si="1"/>
        <v>0</v>
      </c>
      <c r="N40" s="19">
        <v>1</v>
      </c>
      <c r="O40" s="19">
        <f t="shared" si="2"/>
        <v>0</v>
      </c>
      <c r="P40" s="19">
        <v>1</v>
      </c>
      <c r="Q40" s="19">
        <v>0</v>
      </c>
      <c r="R40" s="19">
        <v>0</v>
      </c>
      <c r="S40" s="19">
        <v>0</v>
      </c>
      <c r="T40" s="19">
        <v>1</v>
      </c>
      <c r="U40" t="s">
        <v>86</v>
      </c>
      <c r="V40" s="19">
        <v>41</v>
      </c>
      <c r="W40" s="20">
        <v>4.4233567585724297E-2</v>
      </c>
      <c r="X40" s="8"/>
    </row>
    <row r="41" spans="1:24" x14ac:dyDescent="0.25">
      <c r="A41" s="23" t="s">
        <v>983</v>
      </c>
      <c r="B41" s="18" t="s">
        <v>87</v>
      </c>
      <c r="C41" s="18" t="s">
        <v>7</v>
      </c>
      <c r="D41" s="5" t="s">
        <v>22</v>
      </c>
      <c r="E41" s="19">
        <v>0</v>
      </c>
      <c r="F41" s="19">
        <v>0</v>
      </c>
      <c r="G41" s="19">
        <v>0</v>
      </c>
      <c r="H41" s="19">
        <v>0</v>
      </c>
      <c r="I41" s="19">
        <v>1</v>
      </c>
      <c r="J41" s="19">
        <v>1</v>
      </c>
      <c r="K41" s="19">
        <f t="shared" si="0"/>
        <v>0</v>
      </c>
      <c r="L41" s="19">
        <v>1</v>
      </c>
      <c r="M41" s="19">
        <f t="shared" si="1"/>
        <v>0</v>
      </c>
      <c r="N41" s="19">
        <v>1</v>
      </c>
      <c r="O41" s="19">
        <f t="shared" si="2"/>
        <v>0</v>
      </c>
      <c r="P41" s="19">
        <v>1</v>
      </c>
      <c r="Q41" s="19">
        <v>0</v>
      </c>
      <c r="R41" s="19">
        <v>0</v>
      </c>
      <c r="S41" s="19">
        <v>0</v>
      </c>
      <c r="T41" s="19">
        <v>1</v>
      </c>
      <c r="U41" t="s">
        <v>88</v>
      </c>
      <c r="V41" s="19">
        <v>42</v>
      </c>
      <c r="W41" s="20">
        <v>3.27559369058424E-2</v>
      </c>
      <c r="X41" s="8"/>
    </row>
    <row r="42" spans="1:24" x14ac:dyDescent="0.25">
      <c r="A42" s="23" t="s">
        <v>984</v>
      </c>
      <c r="B42" s="15" t="s">
        <v>89</v>
      </c>
      <c r="C42" s="15" t="s">
        <v>25</v>
      </c>
      <c r="D42" s="5" t="s">
        <v>22</v>
      </c>
      <c r="E42" s="16">
        <v>0</v>
      </c>
      <c r="F42" s="16">
        <v>0</v>
      </c>
      <c r="G42" s="16">
        <v>0</v>
      </c>
      <c r="H42" s="16">
        <v>1</v>
      </c>
      <c r="I42" s="16">
        <v>0</v>
      </c>
      <c r="J42" s="16">
        <v>0</v>
      </c>
      <c r="K42" s="16">
        <f t="shared" si="0"/>
        <v>0</v>
      </c>
      <c r="L42" s="16">
        <v>0</v>
      </c>
      <c r="M42" s="16">
        <f t="shared" si="1"/>
        <v>0</v>
      </c>
      <c r="N42" s="16">
        <v>0</v>
      </c>
      <c r="O42" s="16">
        <f t="shared" si="2"/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/>
      <c r="V42" s="16">
        <v>43</v>
      </c>
      <c r="W42" s="17">
        <v>9.2631972154741601E-2</v>
      </c>
      <c r="X42" s="8"/>
    </row>
    <row r="43" spans="1:24" x14ac:dyDescent="0.25">
      <c r="A43" s="23" t="s">
        <v>985</v>
      </c>
      <c r="B43" s="18" t="s">
        <v>90</v>
      </c>
      <c r="C43" s="18" t="s">
        <v>7</v>
      </c>
      <c r="D43" s="5" t="s">
        <v>22</v>
      </c>
      <c r="E43" s="19">
        <v>0</v>
      </c>
      <c r="F43" s="19">
        <v>0</v>
      </c>
      <c r="G43" s="19">
        <v>0</v>
      </c>
      <c r="H43" s="19">
        <v>0</v>
      </c>
      <c r="I43" s="19">
        <v>1</v>
      </c>
      <c r="J43" s="19">
        <v>0</v>
      </c>
      <c r="K43" s="19">
        <f t="shared" si="0"/>
        <v>1</v>
      </c>
      <c r="L43" s="19">
        <v>0</v>
      </c>
      <c r="M43" s="19">
        <f t="shared" si="1"/>
        <v>1</v>
      </c>
      <c r="N43" s="19">
        <v>1</v>
      </c>
      <c r="O43" s="19">
        <f t="shared" si="2"/>
        <v>0</v>
      </c>
      <c r="P43" s="19">
        <v>1</v>
      </c>
      <c r="Q43" s="19">
        <v>0</v>
      </c>
      <c r="R43" s="19">
        <v>0</v>
      </c>
      <c r="S43" s="19">
        <v>0</v>
      </c>
      <c r="T43" s="19">
        <v>1</v>
      </c>
      <c r="U43" t="s">
        <v>91</v>
      </c>
      <c r="V43" s="19">
        <v>44</v>
      </c>
      <c r="W43" s="20">
        <v>9.2631972154741601E-2</v>
      </c>
      <c r="X43" s="8"/>
    </row>
    <row r="44" spans="1:24" x14ac:dyDescent="0.25">
      <c r="A44" s="23" t="s">
        <v>986</v>
      </c>
      <c r="B44" s="15" t="s">
        <v>92</v>
      </c>
      <c r="C44" s="15" t="s">
        <v>25</v>
      </c>
      <c r="D44" s="5" t="s">
        <v>22</v>
      </c>
      <c r="E44" s="16">
        <v>0</v>
      </c>
      <c r="F44" s="16">
        <v>0</v>
      </c>
      <c r="G44" s="16">
        <v>0</v>
      </c>
      <c r="H44" s="16">
        <v>1</v>
      </c>
      <c r="I44" s="16">
        <v>0</v>
      </c>
      <c r="J44" s="16">
        <v>0</v>
      </c>
      <c r="K44" s="16">
        <f t="shared" si="0"/>
        <v>0</v>
      </c>
      <c r="L44" s="16">
        <v>0</v>
      </c>
      <c r="M44" s="16">
        <f t="shared" si="1"/>
        <v>0</v>
      </c>
      <c r="N44" s="16">
        <v>0</v>
      </c>
      <c r="O44" s="16">
        <f t="shared" si="2"/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/>
      <c r="V44" s="16">
        <v>45</v>
      </c>
      <c r="W44" s="17">
        <v>1.5918438862043702</v>
      </c>
      <c r="X44" s="8"/>
    </row>
    <row r="45" spans="1:24" x14ac:dyDescent="0.25">
      <c r="A45" s="23" t="s">
        <v>987</v>
      </c>
      <c r="B45" s="18" t="s">
        <v>93</v>
      </c>
      <c r="C45" s="18" t="s">
        <v>7</v>
      </c>
      <c r="D45" s="5" t="s">
        <v>22</v>
      </c>
      <c r="E45" s="19">
        <v>0</v>
      </c>
      <c r="F45" s="19">
        <v>0</v>
      </c>
      <c r="G45" s="19">
        <v>0</v>
      </c>
      <c r="H45" s="19">
        <v>0</v>
      </c>
      <c r="I45" s="19">
        <v>1</v>
      </c>
      <c r="J45" s="19">
        <v>1</v>
      </c>
      <c r="K45" s="19">
        <f t="shared" si="0"/>
        <v>0</v>
      </c>
      <c r="L45" s="19">
        <v>1</v>
      </c>
      <c r="M45" s="19">
        <f t="shared" si="1"/>
        <v>0</v>
      </c>
      <c r="N45" s="19">
        <v>1</v>
      </c>
      <c r="O45" s="19">
        <f t="shared" si="2"/>
        <v>0</v>
      </c>
      <c r="P45" s="19">
        <v>1</v>
      </c>
      <c r="Q45" s="19">
        <v>0</v>
      </c>
      <c r="R45" s="19">
        <v>0</v>
      </c>
      <c r="S45" s="19">
        <v>0</v>
      </c>
      <c r="T45" s="19">
        <v>0</v>
      </c>
      <c r="U45" t="s">
        <v>94</v>
      </c>
      <c r="V45" s="19">
        <v>46</v>
      </c>
      <c r="W45" s="20">
        <v>0.75599233145019296</v>
      </c>
      <c r="X45" s="8"/>
    </row>
    <row r="46" spans="1:24" x14ac:dyDescent="0.25">
      <c r="A46" s="23" t="s">
        <v>988</v>
      </c>
      <c r="B46" s="18" t="s">
        <v>95</v>
      </c>
      <c r="C46" s="18" t="s">
        <v>7</v>
      </c>
      <c r="D46" s="5" t="s">
        <v>22</v>
      </c>
      <c r="E46" s="19">
        <v>0</v>
      </c>
      <c r="F46" s="19">
        <v>0</v>
      </c>
      <c r="G46" s="19">
        <v>0</v>
      </c>
      <c r="H46" s="19">
        <v>0</v>
      </c>
      <c r="I46" s="19">
        <v>1</v>
      </c>
      <c r="J46" s="19">
        <v>1</v>
      </c>
      <c r="K46" s="19">
        <f t="shared" si="0"/>
        <v>0</v>
      </c>
      <c r="L46" s="19">
        <v>1</v>
      </c>
      <c r="M46" s="19">
        <f t="shared" si="1"/>
        <v>0</v>
      </c>
      <c r="N46" s="19">
        <v>1</v>
      </c>
      <c r="O46" s="19">
        <f t="shared" si="2"/>
        <v>0</v>
      </c>
      <c r="P46" s="19">
        <v>1</v>
      </c>
      <c r="Q46" s="19">
        <v>0</v>
      </c>
      <c r="R46" s="19">
        <v>0</v>
      </c>
      <c r="S46" s="19">
        <v>0</v>
      </c>
      <c r="T46" s="19">
        <v>0</v>
      </c>
      <c r="U46" t="s">
        <v>96</v>
      </c>
      <c r="V46" s="19">
        <v>47</v>
      </c>
      <c r="W46" s="20">
        <v>0.43933243090293</v>
      </c>
      <c r="X46" s="8"/>
    </row>
    <row r="47" spans="1:24" x14ac:dyDescent="0.25">
      <c r="A47" s="23" t="s">
        <v>989</v>
      </c>
      <c r="B47" s="18" t="s">
        <v>97</v>
      </c>
      <c r="C47" s="18" t="s">
        <v>7</v>
      </c>
      <c r="D47" s="5" t="s">
        <v>22</v>
      </c>
      <c r="E47" s="19">
        <v>0</v>
      </c>
      <c r="F47" s="19">
        <v>0</v>
      </c>
      <c r="G47" s="19">
        <v>0</v>
      </c>
      <c r="H47" s="19">
        <v>0</v>
      </c>
      <c r="I47" s="19">
        <v>1</v>
      </c>
      <c r="J47" s="19">
        <v>1</v>
      </c>
      <c r="K47" s="19">
        <f t="shared" si="0"/>
        <v>0</v>
      </c>
      <c r="L47" s="19">
        <v>1</v>
      </c>
      <c r="M47" s="19">
        <f t="shared" si="1"/>
        <v>0</v>
      </c>
      <c r="N47" s="19">
        <v>1</v>
      </c>
      <c r="O47" s="19">
        <f t="shared" si="2"/>
        <v>0</v>
      </c>
      <c r="P47" s="19">
        <v>1</v>
      </c>
      <c r="Q47" s="19">
        <v>0</v>
      </c>
      <c r="R47" s="19">
        <v>0</v>
      </c>
      <c r="S47" s="19">
        <v>0</v>
      </c>
      <c r="T47" s="19">
        <v>0</v>
      </c>
      <c r="U47" t="s">
        <v>98</v>
      </c>
      <c r="V47" s="19">
        <v>48</v>
      </c>
      <c r="W47" s="20">
        <v>0.14082646495538101</v>
      </c>
      <c r="X47" s="8"/>
    </row>
    <row r="48" spans="1:24" x14ac:dyDescent="0.25">
      <c r="A48" s="23" t="s">
        <v>990</v>
      </c>
      <c r="B48" s="18" t="s">
        <v>99</v>
      </c>
      <c r="C48" s="18" t="s">
        <v>7</v>
      </c>
      <c r="D48" s="5" t="s">
        <v>22</v>
      </c>
      <c r="E48" s="19">
        <v>0</v>
      </c>
      <c r="F48" s="19">
        <v>0</v>
      </c>
      <c r="G48" s="19">
        <v>0</v>
      </c>
      <c r="H48" s="19">
        <v>0</v>
      </c>
      <c r="I48" s="19">
        <v>1</v>
      </c>
      <c r="J48" s="19">
        <v>1</v>
      </c>
      <c r="K48" s="19">
        <f t="shared" si="0"/>
        <v>0</v>
      </c>
      <c r="L48" s="19">
        <v>1</v>
      </c>
      <c r="M48" s="19">
        <f t="shared" si="1"/>
        <v>0</v>
      </c>
      <c r="N48" s="19">
        <v>1</v>
      </c>
      <c r="O48" s="19">
        <f t="shared" si="2"/>
        <v>0</v>
      </c>
      <c r="P48" s="19">
        <v>1</v>
      </c>
      <c r="Q48" s="19">
        <v>0</v>
      </c>
      <c r="R48" s="19">
        <v>0</v>
      </c>
      <c r="S48" s="19">
        <v>0</v>
      </c>
      <c r="T48" s="19">
        <v>0</v>
      </c>
      <c r="U48" t="s">
        <v>100</v>
      </c>
      <c r="V48" s="19">
        <v>49</v>
      </c>
      <c r="W48" s="20">
        <v>0.155427735495171</v>
      </c>
      <c r="X48" s="8"/>
    </row>
    <row r="49" spans="1:24" x14ac:dyDescent="0.25">
      <c r="A49" s="23" t="s">
        <v>991</v>
      </c>
      <c r="B49" s="18" t="s">
        <v>101</v>
      </c>
      <c r="C49" s="18" t="s">
        <v>7</v>
      </c>
      <c r="D49" s="5" t="s">
        <v>22</v>
      </c>
      <c r="E49" s="19">
        <v>0</v>
      </c>
      <c r="F49" s="19">
        <v>0</v>
      </c>
      <c r="G49" s="19">
        <v>0</v>
      </c>
      <c r="H49" s="19">
        <v>0</v>
      </c>
      <c r="I49" s="19">
        <v>1</v>
      </c>
      <c r="J49" s="19">
        <v>1</v>
      </c>
      <c r="K49" s="19">
        <f t="shared" si="0"/>
        <v>0</v>
      </c>
      <c r="L49" s="19">
        <v>1</v>
      </c>
      <c r="M49" s="19">
        <f t="shared" si="1"/>
        <v>0</v>
      </c>
      <c r="N49" s="19">
        <v>1</v>
      </c>
      <c r="O49" s="19">
        <f t="shared" si="2"/>
        <v>0</v>
      </c>
      <c r="P49" s="19">
        <v>1</v>
      </c>
      <c r="Q49" s="19">
        <v>0</v>
      </c>
      <c r="R49" s="19">
        <v>0</v>
      </c>
      <c r="S49" s="19">
        <v>0</v>
      </c>
      <c r="T49" s="19">
        <v>0</v>
      </c>
      <c r="U49" t="s">
        <v>102</v>
      </c>
      <c r="V49" s="19">
        <v>50</v>
      </c>
      <c r="W49" s="20">
        <v>3.9453294790432698E-2</v>
      </c>
      <c r="X49" s="8"/>
    </row>
    <row r="50" spans="1:24" x14ac:dyDescent="0.25">
      <c r="A50" s="23" t="s">
        <v>992</v>
      </c>
      <c r="B50" s="18" t="s">
        <v>103</v>
      </c>
      <c r="C50" s="18" t="s">
        <v>7</v>
      </c>
      <c r="D50" s="5" t="s">
        <v>22</v>
      </c>
      <c r="E50" s="19">
        <v>0</v>
      </c>
      <c r="F50" s="19">
        <v>0</v>
      </c>
      <c r="G50" s="19">
        <v>0</v>
      </c>
      <c r="H50" s="19">
        <v>0</v>
      </c>
      <c r="I50" s="19">
        <v>1</v>
      </c>
      <c r="J50" s="19">
        <v>1</v>
      </c>
      <c r="K50" s="19">
        <f t="shared" si="0"/>
        <v>0</v>
      </c>
      <c r="L50" s="19">
        <v>1</v>
      </c>
      <c r="M50" s="19">
        <f t="shared" si="1"/>
        <v>0</v>
      </c>
      <c r="N50" s="19">
        <v>1</v>
      </c>
      <c r="O50" s="19">
        <f t="shared" si="2"/>
        <v>0</v>
      </c>
      <c r="P50" s="19">
        <v>1</v>
      </c>
      <c r="Q50" s="19">
        <v>0</v>
      </c>
      <c r="R50" s="19">
        <v>0</v>
      </c>
      <c r="S50" s="19">
        <v>0</v>
      </c>
      <c r="T50" s="19">
        <v>1</v>
      </c>
      <c r="U50" t="s">
        <v>104</v>
      </c>
      <c r="V50" s="19">
        <v>51</v>
      </c>
      <c r="W50" s="20">
        <v>3.3700229641182099E-2</v>
      </c>
      <c r="X50" s="8"/>
    </row>
    <row r="51" spans="1:24" x14ac:dyDescent="0.25">
      <c r="A51" s="23" t="s">
        <v>993</v>
      </c>
      <c r="B51" s="18" t="s">
        <v>105</v>
      </c>
      <c r="C51" s="18" t="s">
        <v>7</v>
      </c>
      <c r="D51" s="5" t="s">
        <v>22</v>
      </c>
      <c r="E51" s="19">
        <v>0</v>
      </c>
      <c r="F51" s="19">
        <v>0</v>
      </c>
      <c r="G51" s="19">
        <v>0</v>
      </c>
      <c r="H51" s="19">
        <v>0</v>
      </c>
      <c r="I51" s="19">
        <v>1</v>
      </c>
      <c r="J51" s="19">
        <v>1</v>
      </c>
      <c r="K51" s="19">
        <f t="shared" si="0"/>
        <v>0</v>
      </c>
      <c r="L51" s="19">
        <v>1</v>
      </c>
      <c r="M51" s="19">
        <f t="shared" si="1"/>
        <v>0</v>
      </c>
      <c r="N51" s="19">
        <v>1</v>
      </c>
      <c r="O51" s="19">
        <f t="shared" si="2"/>
        <v>0</v>
      </c>
      <c r="P51" s="19">
        <v>1</v>
      </c>
      <c r="Q51" s="19">
        <v>0</v>
      </c>
      <c r="R51" s="19">
        <v>0</v>
      </c>
      <c r="S51" s="19">
        <v>0</v>
      </c>
      <c r="T51" s="19">
        <v>1</v>
      </c>
      <c r="U51" t="s">
        <v>106</v>
      </c>
      <c r="V51" s="19">
        <v>52</v>
      </c>
      <c r="W51" s="20">
        <v>2.7111398969080599E-2</v>
      </c>
      <c r="X51" s="8"/>
    </row>
    <row r="52" spans="1:24" x14ac:dyDescent="0.25">
      <c r="A52" s="23" t="s">
        <v>994</v>
      </c>
      <c r="B52" s="12" t="s">
        <v>107</v>
      </c>
      <c r="C52" s="12" t="s">
        <v>5</v>
      </c>
      <c r="D52" s="5" t="s">
        <v>22</v>
      </c>
      <c r="E52" s="13">
        <v>0</v>
      </c>
      <c r="F52" s="13">
        <v>0</v>
      </c>
      <c r="G52" s="13">
        <v>1</v>
      </c>
      <c r="H52" s="13">
        <v>0</v>
      </c>
      <c r="I52" s="13">
        <v>0</v>
      </c>
      <c r="J52" s="13">
        <v>0</v>
      </c>
      <c r="K52" s="13">
        <f t="shared" si="0"/>
        <v>0</v>
      </c>
      <c r="L52" s="13">
        <v>0</v>
      </c>
      <c r="M52" s="13">
        <f t="shared" si="1"/>
        <v>0</v>
      </c>
      <c r="N52" s="13">
        <v>0</v>
      </c>
      <c r="O52" s="13">
        <f t="shared" si="2"/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/>
      <c r="V52" s="13">
        <v>53</v>
      </c>
      <c r="W52" s="14">
        <v>0.87925302469364952</v>
      </c>
      <c r="X52" s="8"/>
    </row>
    <row r="53" spans="1:24" x14ac:dyDescent="0.25">
      <c r="A53" s="23" t="s">
        <v>995</v>
      </c>
      <c r="B53" s="15" t="s">
        <v>108</v>
      </c>
      <c r="C53" s="15" t="s">
        <v>25</v>
      </c>
      <c r="D53" s="5" t="s">
        <v>22</v>
      </c>
      <c r="E53" s="16">
        <v>0</v>
      </c>
      <c r="F53" s="16">
        <v>0</v>
      </c>
      <c r="G53" s="16">
        <v>0</v>
      </c>
      <c r="H53" s="16">
        <v>1</v>
      </c>
      <c r="I53" s="16">
        <v>0</v>
      </c>
      <c r="J53" s="16">
        <v>0</v>
      </c>
      <c r="K53" s="16">
        <f t="shared" si="0"/>
        <v>0</v>
      </c>
      <c r="L53" s="16">
        <v>0</v>
      </c>
      <c r="M53" s="16">
        <f t="shared" si="1"/>
        <v>0</v>
      </c>
      <c r="N53" s="16">
        <v>0</v>
      </c>
      <c r="O53" s="16">
        <f t="shared" si="2"/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/>
      <c r="V53" s="16">
        <v>54</v>
      </c>
      <c r="W53" s="17">
        <v>0.31351785541639648</v>
      </c>
      <c r="X53" s="8"/>
    </row>
    <row r="54" spans="1:24" x14ac:dyDescent="0.25">
      <c r="A54" s="23" t="s">
        <v>996</v>
      </c>
      <c r="B54" s="18" t="s">
        <v>109</v>
      </c>
      <c r="C54" s="18" t="s">
        <v>7</v>
      </c>
      <c r="D54" s="5" t="s">
        <v>22</v>
      </c>
      <c r="E54" s="19">
        <v>0</v>
      </c>
      <c r="F54" s="19">
        <v>0</v>
      </c>
      <c r="G54" s="19">
        <v>0</v>
      </c>
      <c r="H54" s="19">
        <v>0</v>
      </c>
      <c r="I54" s="19">
        <v>1</v>
      </c>
      <c r="J54" s="19">
        <v>1</v>
      </c>
      <c r="K54" s="19">
        <f t="shared" si="0"/>
        <v>0</v>
      </c>
      <c r="L54" s="19">
        <v>1</v>
      </c>
      <c r="M54" s="19">
        <f t="shared" si="1"/>
        <v>0</v>
      </c>
      <c r="N54" s="19">
        <v>1</v>
      </c>
      <c r="O54" s="19">
        <f t="shared" si="2"/>
        <v>0</v>
      </c>
      <c r="P54" s="19">
        <v>1</v>
      </c>
      <c r="Q54" s="19">
        <v>0</v>
      </c>
      <c r="R54" s="19">
        <v>0</v>
      </c>
      <c r="S54" s="19">
        <v>0</v>
      </c>
      <c r="T54" s="19">
        <v>0</v>
      </c>
      <c r="U54" t="s">
        <v>110</v>
      </c>
      <c r="V54" s="19">
        <v>55</v>
      </c>
      <c r="W54" s="20">
        <v>0.179655036465136</v>
      </c>
      <c r="X54" s="8"/>
    </row>
    <row r="55" spans="1:24" x14ac:dyDescent="0.25">
      <c r="A55" s="23" t="s">
        <v>997</v>
      </c>
      <c r="B55" s="18" t="s">
        <v>111</v>
      </c>
      <c r="C55" s="18" t="s">
        <v>7</v>
      </c>
      <c r="D55" s="5" t="s">
        <v>22</v>
      </c>
      <c r="E55" s="19">
        <v>0</v>
      </c>
      <c r="F55" s="19">
        <v>0</v>
      </c>
      <c r="G55" s="19">
        <v>0</v>
      </c>
      <c r="H55" s="19">
        <v>0</v>
      </c>
      <c r="I55" s="19">
        <v>1</v>
      </c>
      <c r="J55" s="19">
        <v>1</v>
      </c>
      <c r="K55" s="19">
        <f t="shared" si="0"/>
        <v>0</v>
      </c>
      <c r="L55" s="19">
        <v>1</v>
      </c>
      <c r="M55" s="19">
        <f t="shared" si="1"/>
        <v>0</v>
      </c>
      <c r="N55" s="19">
        <v>1</v>
      </c>
      <c r="O55" s="19">
        <f t="shared" si="2"/>
        <v>0</v>
      </c>
      <c r="P55" s="19">
        <v>1</v>
      </c>
      <c r="Q55" s="19">
        <v>0</v>
      </c>
      <c r="R55" s="19">
        <v>0</v>
      </c>
      <c r="S55" s="19">
        <v>0</v>
      </c>
      <c r="T55" s="19">
        <v>0</v>
      </c>
      <c r="U55" t="s">
        <v>112</v>
      </c>
      <c r="V55" s="19">
        <v>56</v>
      </c>
      <c r="W55" s="20">
        <v>3.4979319936214101E-2</v>
      </c>
      <c r="X55" s="8"/>
    </row>
    <row r="56" spans="1:24" x14ac:dyDescent="0.25">
      <c r="A56" s="23" t="s">
        <v>998</v>
      </c>
      <c r="B56" s="18" t="s">
        <v>113</v>
      </c>
      <c r="C56" s="18" t="s">
        <v>7</v>
      </c>
      <c r="D56" s="5" t="s">
        <v>22</v>
      </c>
      <c r="E56" s="19">
        <v>0</v>
      </c>
      <c r="F56" s="19">
        <v>0</v>
      </c>
      <c r="G56" s="19">
        <v>0</v>
      </c>
      <c r="H56" s="19">
        <v>0</v>
      </c>
      <c r="I56" s="19">
        <v>1</v>
      </c>
      <c r="J56" s="19">
        <v>1</v>
      </c>
      <c r="K56" s="19">
        <f t="shared" si="0"/>
        <v>0</v>
      </c>
      <c r="L56" s="19">
        <v>1</v>
      </c>
      <c r="M56" s="19">
        <f t="shared" si="1"/>
        <v>0</v>
      </c>
      <c r="N56" s="19">
        <v>1</v>
      </c>
      <c r="O56" s="19">
        <f t="shared" si="2"/>
        <v>0</v>
      </c>
      <c r="P56" s="19">
        <v>1</v>
      </c>
      <c r="Q56" s="19">
        <v>0</v>
      </c>
      <c r="R56" s="19">
        <v>0</v>
      </c>
      <c r="S56" s="19">
        <v>0</v>
      </c>
      <c r="T56" s="19">
        <v>0</v>
      </c>
      <c r="U56" t="s">
        <v>114</v>
      </c>
      <c r="V56" s="19">
        <v>57</v>
      </c>
      <c r="W56" s="20">
        <v>9.8883499015046394E-2</v>
      </c>
      <c r="X56" s="8"/>
    </row>
    <row r="57" spans="1:24" x14ac:dyDescent="0.25">
      <c r="A57" s="23" t="s">
        <v>999</v>
      </c>
      <c r="B57" s="15" t="s">
        <v>115</v>
      </c>
      <c r="C57" s="15" t="s">
        <v>25</v>
      </c>
      <c r="D57" s="5" t="s">
        <v>22</v>
      </c>
      <c r="E57" s="16">
        <v>0</v>
      </c>
      <c r="F57" s="16">
        <v>0</v>
      </c>
      <c r="G57" s="16">
        <v>0</v>
      </c>
      <c r="H57" s="16">
        <v>1</v>
      </c>
      <c r="I57" s="16">
        <v>0</v>
      </c>
      <c r="J57" s="16">
        <v>0</v>
      </c>
      <c r="K57" s="16">
        <f t="shared" si="0"/>
        <v>0</v>
      </c>
      <c r="L57" s="16">
        <v>0</v>
      </c>
      <c r="M57" s="16">
        <f t="shared" si="1"/>
        <v>0</v>
      </c>
      <c r="N57" s="16">
        <v>0</v>
      </c>
      <c r="O57" s="16">
        <f t="shared" si="2"/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/>
      <c r="V57" s="16">
        <v>58</v>
      </c>
      <c r="W57" s="17">
        <v>0.56573516927725298</v>
      </c>
      <c r="X57" s="8"/>
    </row>
    <row r="58" spans="1:24" x14ac:dyDescent="0.25">
      <c r="A58" s="23" t="s">
        <v>1000</v>
      </c>
      <c r="B58" s="18" t="s">
        <v>116</v>
      </c>
      <c r="C58" s="18" t="s">
        <v>7</v>
      </c>
      <c r="D58" s="5" t="s">
        <v>22</v>
      </c>
      <c r="E58" s="19">
        <v>0</v>
      </c>
      <c r="F58" s="19">
        <v>0</v>
      </c>
      <c r="G58" s="19">
        <v>0</v>
      </c>
      <c r="H58" s="19">
        <v>0</v>
      </c>
      <c r="I58" s="19">
        <v>1</v>
      </c>
      <c r="J58" s="19">
        <v>1</v>
      </c>
      <c r="K58" s="19">
        <f t="shared" si="0"/>
        <v>0</v>
      </c>
      <c r="L58" s="19">
        <v>1</v>
      </c>
      <c r="M58" s="19">
        <f t="shared" si="1"/>
        <v>0</v>
      </c>
      <c r="N58" s="19">
        <v>1</v>
      </c>
      <c r="O58" s="19">
        <f t="shared" si="2"/>
        <v>0</v>
      </c>
      <c r="P58" s="19">
        <v>1</v>
      </c>
      <c r="Q58" s="19">
        <v>0</v>
      </c>
      <c r="R58" s="19">
        <v>0</v>
      </c>
      <c r="S58" s="19">
        <v>0</v>
      </c>
      <c r="T58" s="19">
        <v>0</v>
      </c>
      <c r="U58" t="s">
        <v>117</v>
      </c>
      <c r="V58" s="19">
        <v>59</v>
      </c>
      <c r="W58" s="20">
        <v>0.27685188923481602</v>
      </c>
      <c r="X58" s="8"/>
    </row>
    <row r="59" spans="1:24" x14ac:dyDescent="0.25">
      <c r="A59" s="23" t="s">
        <v>1001</v>
      </c>
      <c r="B59" s="18" t="s">
        <v>118</v>
      </c>
      <c r="C59" s="18" t="s">
        <v>7</v>
      </c>
      <c r="D59" s="5" t="s">
        <v>22</v>
      </c>
      <c r="E59" s="19">
        <v>0</v>
      </c>
      <c r="F59" s="19">
        <v>0</v>
      </c>
      <c r="G59" s="19">
        <v>0</v>
      </c>
      <c r="H59" s="19">
        <v>0</v>
      </c>
      <c r="I59" s="19">
        <v>1</v>
      </c>
      <c r="J59" s="19">
        <v>1</v>
      </c>
      <c r="K59" s="19">
        <f t="shared" si="0"/>
        <v>0</v>
      </c>
      <c r="L59" s="19">
        <v>1</v>
      </c>
      <c r="M59" s="19">
        <f t="shared" si="1"/>
        <v>0</v>
      </c>
      <c r="N59" s="19">
        <v>1</v>
      </c>
      <c r="O59" s="19">
        <f t="shared" si="2"/>
        <v>0</v>
      </c>
      <c r="P59" s="19">
        <v>1</v>
      </c>
      <c r="Q59" s="19">
        <v>0</v>
      </c>
      <c r="R59" s="19">
        <v>0</v>
      </c>
      <c r="S59" s="19">
        <v>0</v>
      </c>
      <c r="T59" s="19">
        <v>0</v>
      </c>
      <c r="U59" t="s">
        <v>119</v>
      </c>
      <c r="V59" s="19">
        <v>60</v>
      </c>
      <c r="W59" s="20">
        <v>0.16085441883158799</v>
      </c>
      <c r="X59" s="8"/>
    </row>
    <row r="60" spans="1:24" x14ac:dyDescent="0.25">
      <c r="A60" s="23" t="s">
        <v>1002</v>
      </c>
      <c r="B60" s="18" t="s">
        <v>120</v>
      </c>
      <c r="C60" s="18" t="s">
        <v>7</v>
      </c>
      <c r="D60" s="5" t="s">
        <v>22</v>
      </c>
      <c r="E60" s="19">
        <v>0</v>
      </c>
      <c r="F60" s="19">
        <v>0</v>
      </c>
      <c r="G60" s="19">
        <v>0</v>
      </c>
      <c r="H60" s="19">
        <v>0</v>
      </c>
      <c r="I60" s="19">
        <v>1</v>
      </c>
      <c r="J60" s="19">
        <v>1</v>
      </c>
      <c r="K60" s="19">
        <f t="shared" si="0"/>
        <v>0</v>
      </c>
      <c r="L60" s="19">
        <v>1</v>
      </c>
      <c r="M60" s="19">
        <f t="shared" si="1"/>
        <v>0</v>
      </c>
      <c r="N60" s="19">
        <v>1</v>
      </c>
      <c r="O60" s="19">
        <f t="shared" si="2"/>
        <v>0</v>
      </c>
      <c r="P60" s="19">
        <v>1</v>
      </c>
      <c r="Q60" s="19">
        <v>0</v>
      </c>
      <c r="R60" s="19">
        <v>0</v>
      </c>
      <c r="S60" s="19">
        <v>0</v>
      </c>
      <c r="T60" s="19">
        <v>0</v>
      </c>
      <c r="U60" t="s">
        <v>121</v>
      </c>
      <c r="V60" s="19">
        <v>61</v>
      </c>
      <c r="W60" s="20">
        <v>6.4417184233745997E-2</v>
      </c>
      <c r="X60" s="8"/>
    </row>
    <row r="61" spans="1:24" x14ac:dyDescent="0.25">
      <c r="A61" s="23" t="s">
        <v>1003</v>
      </c>
      <c r="B61" s="18" t="s">
        <v>122</v>
      </c>
      <c r="C61" s="18" t="s">
        <v>7</v>
      </c>
      <c r="D61" s="5" t="s">
        <v>22</v>
      </c>
      <c r="E61" s="19">
        <v>0</v>
      </c>
      <c r="F61" s="19">
        <v>0</v>
      </c>
      <c r="G61" s="19">
        <v>0</v>
      </c>
      <c r="H61" s="19">
        <v>0</v>
      </c>
      <c r="I61" s="19">
        <v>1</v>
      </c>
      <c r="J61" s="19">
        <v>1</v>
      </c>
      <c r="K61" s="19">
        <f t="shared" si="0"/>
        <v>0</v>
      </c>
      <c r="L61" s="19">
        <v>1</v>
      </c>
      <c r="M61" s="19">
        <f t="shared" si="1"/>
        <v>0</v>
      </c>
      <c r="N61" s="19">
        <v>1</v>
      </c>
      <c r="O61" s="19">
        <f t="shared" si="2"/>
        <v>0</v>
      </c>
      <c r="P61" s="19">
        <v>1</v>
      </c>
      <c r="Q61" s="19">
        <v>0</v>
      </c>
      <c r="R61" s="19">
        <v>0</v>
      </c>
      <c r="S61" s="19">
        <v>0</v>
      </c>
      <c r="T61" s="19">
        <v>0</v>
      </c>
      <c r="U61" t="s">
        <v>123</v>
      </c>
      <c r="V61" s="19">
        <v>62</v>
      </c>
      <c r="W61" s="20">
        <v>6.3611676977103002E-2</v>
      </c>
      <c r="X61" s="8"/>
    </row>
    <row r="62" spans="1:24" x14ac:dyDescent="0.25">
      <c r="A62" s="23" t="s">
        <v>1004</v>
      </c>
      <c r="B62" s="12" t="s">
        <v>124</v>
      </c>
      <c r="C62" s="12" t="s">
        <v>5</v>
      </c>
      <c r="D62" s="5" t="s">
        <v>22</v>
      </c>
      <c r="E62" s="13">
        <v>0</v>
      </c>
      <c r="F62" s="13">
        <v>0</v>
      </c>
      <c r="G62" s="13">
        <v>1</v>
      </c>
      <c r="H62" s="13">
        <v>0</v>
      </c>
      <c r="I62" s="13">
        <v>0</v>
      </c>
      <c r="J62" s="13">
        <v>0</v>
      </c>
      <c r="K62" s="13">
        <f t="shared" si="0"/>
        <v>0</v>
      </c>
      <c r="L62" s="13">
        <v>0</v>
      </c>
      <c r="M62" s="13">
        <f t="shared" si="1"/>
        <v>0</v>
      </c>
      <c r="N62" s="13">
        <v>0</v>
      </c>
      <c r="O62" s="13">
        <f t="shared" si="2"/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/>
      <c r="V62" s="13">
        <v>63</v>
      </c>
      <c r="W62" s="14">
        <v>2.9905282497142589</v>
      </c>
      <c r="X62" s="8"/>
    </row>
    <row r="63" spans="1:24" x14ac:dyDescent="0.25">
      <c r="A63" s="23" t="s">
        <v>1005</v>
      </c>
      <c r="B63" s="15" t="s">
        <v>125</v>
      </c>
      <c r="C63" s="15" t="s">
        <v>25</v>
      </c>
      <c r="D63" s="5" t="s">
        <v>22</v>
      </c>
      <c r="E63" s="16">
        <v>0</v>
      </c>
      <c r="F63" s="16">
        <v>0</v>
      </c>
      <c r="G63" s="16">
        <v>0</v>
      </c>
      <c r="H63" s="16">
        <v>1</v>
      </c>
      <c r="I63" s="16">
        <v>0</v>
      </c>
      <c r="J63" s="16">
        <v>0</v>
      </c>
      <c r="K63" s="16">
        <f t="shared" si="0"/>
        <v>0</v>
      </c>
      <c r="L63" s="16">
        <v>0</v>
      </c>
      <c r="M63" s="16">
        <f t="shared" si="1"/>
        <v>0</v>
      </c>
      <c r="N63" s="16">
        <v>0</v>
      </c>
      <c r="O63" s="16">
        <f t="shared" si="2"/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/>
      <c r="V63" s="16">
        <v>64</v>
      </c>
      <c r="W63" s="17">
        <v>1.4923500604910651</v>
      </c>
      <c r="X63" s="8"/>
    </row>
    <row r="64" spans="1:24" x14ac:dyDescent="0.25">
      <c r="A64" s="23" t="s">
        <v>1006</v>
      </c>
      <c r="B64" s="18" t="s">
        <v>126</v>
      </c>
      <c r="C64" s="18" t="s">
        <v>7</v>
      </c>
      <c r="D64" s="5" t="s">
        <v>22</v>
      </c>
      <c r="E64" s="19">
        <v>0</v>
      </c>
      <c r="F64" s="19">
        <v>0</v>
      </c>
      <c r="G64" s="19">
        <v>0</v>
      </c>
      <c r="H64" s="19">
        <v>0</v>
      </c>
      <c r="I64" s="19">
        <v>1</v>
      </c>
      <c r="J64" s="19">
        <v>1</v>
      </c>
      <c r="K64" s="19">
        <f t="shared" si="0"/>
        <v>0</v>
      </c>
      <c r="L64" s="19">
        <v>0</v>
      </c>
      <c r="M64" s="19">
        <f t="shared" si="1"/>
        <v>1</v>
      </c>
      <c r="N64" s="19">
        <v>1</v>
      </c>
      <c r="O64" s="19">
        <f t="shared" si="2"/>
        <v>0</v>
      </c>
      <c r="P64" s="19">
        <v>1</v>
      </c>
      <c r="Q64" s="19">
        <v>0</v>
      </c>
      <c r="R64" s="19">
        <v>0</v>
      </c>
      <c r="S64" s="19">
        <v>0</v>
      </c>
      <c r="T64" s="19">
        <v>0</v>
      </c>
      <c r="U64" t="s">
        <v>127</v>
      </c>
      <c r="V64" s="19">
        <v>65</v>
      </c>
      <c r="W64" s="20">
        <v>0.25734548411601199</v>
      </c>
      <c r="X64" s="8"/>
    </row>
    <row r="65" spans="1:24" x14ac:dyDescent="0.25">
      <c r="A65" s="23" t="s">
        <v>1007</v>
      </c>
      <c r="B65" s="18" t="s">
        <v>128</v>
      </c>
      <c r="C65" s="18" t="s">
        <v>7</v>
      </c>
      <c r="D65" s="5" t="s">
        <v>22</v>
      </c>
      <c r="E65" s="19">
        <v>0</v>
      </c>
      <c r="F65" s="19">
        <v>0</v>
      </c>
      <c r="G65" s="19">
        <v>0</v>
      </c>
      <c r="H65" s="19">
        <v>0</v>
      </c>
      <c r="I65" s="19">
        <v>1</v>
      </c>
      <c r="J65" s="19">
        <v>1</v>
      </c>
      <c r="K65" s="19">
        <f t="shared" ref="K65:K128" si="3">IF(I65=1,IF(J65=1,0,1),0)</f>
        <v>0</v>
      </c>
      <c r="L65" s="19">
        <v>1</v>
      </c>
      <c r="M65" s="19">
        <f t="shared" ref="M65:M128" si="4">IF(I65=1,IF(L65=1,0,1),0)</f>
        <v>0</v>
      </c>
      <c r="N65" s="19">
        <v>1</v>
      </c>
      <c r="O65" s="19">
        <f t="shared" ref="O65:O128" si="5">IF(I65=1,IF(N65=1,0,1),0)</f>
        <v>0</v>
      </c>
      <c r="P65" s="19">
        <v>1</v>
      </c>
      <c r="Q65" s="19">
        <v>0</v>
      </c>
      <c r="R65" s="19">
        <v>0</v>
      </c>
      <c r="S65" s="19">
        <v>0</v>
      </c>
      <c r="T65" s="19">
        <v>0</v>
      </c>
      <c r="U65" t="s">
        <v>129</v>
      </c>
      <c r="V65" s="19">
        <v>66</v>
      </c>
      <c r="W65" s="20">
        <v>0.30439867418625599</v>
      </c>
      <c r="X65" s="8"/>
    </row>
    <row r="66" spans="1:24" x14ac:dyDescent="0.25">
      <c r="A66" s="23" t="s">
        <v>1008</v>
      </c>
      <c r="B66" s="18" t="s">
        <v>130</v>
      </c>
      <c r="C66" s="18" t="s">
        <v>7</v>
      </c>
      <c r="D66" s="5" t="s">
        <v>22</v>
      </c>
      <c r="E66" s="19">
        <v>0</v>
      </c>
      <c r="F66" s="19">
        <v>0</v>
      </c>
      <c r="G66" s="19">
        <v>0</v>
      </c>
      <c r="H66" s="19">
        <v>0</v>
      </c>
      <c r="I66" s="19">
        <v>1</v>
      </c>
      <c r="J66" s="19">
        <v>1</v>
      </c>
      <c r="K66" s="19">
        <f t="shared" si="3"/>
        <v>0</v>
      </c>
      <c r="L66" s="19">
        <v>0</v>
      </c>
      <c r="M66" s="19">
        <f t="shared" si="4"/>
        <v>1</v>
      </c>
      <c r="N66" s="19">
        <v>1</v>
      </c>
      <c r="O66" s="19">
        <f t="shared" si="5"/>
        <v>0</v>
      </c>
      <c r="P66" s="19">
        <v>1</v>
      </c>
      <c r="Q66" s="19">
        <v>0</v>
      </c>
      <c r="R66" s="19">
        <v>0</v>
      </c>
      <c r="S66" s="19">
        <v>0</v>
      </c>
      <c r="T66" s="19">
        <v>0</v>
      </c>
      <c r="U66" t="s">
        <v>131</v>
      </c>
      <c r="V66" s="19">
        <v>67</v>
      </c>
      <c r="W66" s="20">
        <v>0.55595534001638203</v>
      </c>
      <c r="X66" s="8"/>
    </row>
    <row r="67" spans="1:24" x14ac:dyDescent="0.25">
      <c r="A67" s="23" t="s">
        <v>1009</v>
      </c>
      <c r="B67" s="18" t="s">
        <v>132</v>
      </c>
      <c r="C67" s="18" t="s">
        <v>7</v>
      </c>
      <c r="D67" s="5" t="s">
        <v>22</v>
      </c>
      <c r="E67" s="19">
        <v>0</v>
      </c>
      <c r="F67" s="19">
        <v>0</v>
      </c>
      <c r="G67" s="19">
        <v>0</v>
      </c>
      <c r="H67" s="19">
        <v>0</v>
      </c>
      <c r="I67" s="19">
        <v>1</v>
      </c>
      <c r="J67" s="19">
        <v>1</v>
      </c>
      <c r="K67" s="19">
        <f t="shared" si="3"/>
        <v>0</v>
      </c>
      <c r="L67" s="19">
        <v>1</v>
      </c>
      <c r="M67" s="19">
        <f t="shared" si="4"/>
        <v>0</v>
      </c>
      <c r="N67" s="19">
        <v>1</v>
      </c>
      <c r="O67" s="19">
        <f t="shared" si="5"/>
        <v>0</v>
      </c>
      <c r="P67" s="19">
        <v>1</v>
      </c>
      <c r="Q67" s="19">
        <v>0</v>
      </c>
      <c r="R67" s="19">
        <v>0</v>
      </c>
      <c r="S67" s="19">
        <v>0</v>
      </c>
      <c r="T67" s="19">
        <v>1</v>
      </c>
      <c r="U67" t="s">
        <v>133</v>
      </c>
      <c r="V67" s="19">
        <v>68</v>
      </c>
      <c r="W67" s="20">
        <v>6.1261991476909097E-2</v>
      </c>
      <c r="X67" s="8"/>
    </row>
    <row r="68" spans="1:24" x14ac:dyDescent="0.25">
      <c r="A68" s="23" t="s">
        <v>1010</v>
      </c>
      <c r="B68" s="18" t="s">
        <v>134</v>
      </c>
      <c r="C68" s="18" t="s">
        <v>7</v>
      </c>
      <c r="D68" s="5" t="s">
        <v>22</v>
      </c>
      <c r="E68" s="19">
        <v>0</v>
      </c>
      <c r="F68" s="19">
        <v>0</v>
      </c>
      <c r="G68" s="19">
        <v>0</v>
      </c>
      <c r="H68" s="19">
        <v>0</v>
      </c>
      <c r="I68" s="19">
        <v>1</v>
      </c>
      <c r="J68" s="19">
        <v>1</v>
      </c>
      <c r="K68" s="19">
        <f t="shared" si="3"/>
        <v>0</v>
      </c>
      <c r="L68" s="19">
        <v>1</v>
      </c>
      <c r="M68" s="19">
        <f t="shared" si="4"/>
        <v>0</v>
      </c>
      <c r="N68" s="19">
        <v>1</v>
      </c>
      <c r="O68" s="19">
        <f t="shared" si="5"/>
        <v>0</v>
      </c>
      <c r="P68" s="19">
        <v>1</v>
      </c>
      <c r="Q68" s="19">
        <v>0</v>
      </c>
      <c r="R68" s="19">
        <v>0</v>
      </c>
      <c r="S68" s="19">
        <v>0</v>
      </c>
      <c r="T68" s="19">
        <v>1</v>
      </c>
      <c r="U68" t="s">
        <v>135</v>
      </c>
      <c r="V68" s="19">
        <v>69</v>
      </c>
      <c r="W68" s="20">
        <v>5.0276757072933401E-2</v>
      </c>
      <c r="X68" s="8"/>
    </row>
    <row r="69" spans="1:24" x14ac:dyDescent="0.25">
      <c r="A69" s="23" t="s">
        <v>1011</v>
      </c>
      <c r="B69" s="18" t="s">
        <v>136</v>
      </c>
      <c r="C69" s="18" t="s">
        <v>7</v>
      </c>
      <c r="D69" s="5" t="s">
        <v>22</v>
      </c>
      <c r="E69" s="19">
        <v>0</v>
      </c>
      <c r="F69" s="19">
        <v>0</v>
      </c>
      <c r="G69" s="19">
        <v>0</v>
      </c>
      <c r="H69" s="19">
        <v>0</v>
      </c>
      <c r="I69" s="19">
        <v>1</v>
      </c>
      <c r="J69" s="19">
        <v>1</v>
      </c>
      <c r="K69" s="19">
        <f t="shared" si="3"/>
        <v>0</v>
      </c>
      <c r="L69" s="19">
        <v>1</v>
      </c>
      <c r="M69" s="19">
        <f t="shared" si="4"/>
        <v>0</v>
      </c>
      <c r="N69" s="19">
        <v>1</v>
      </c>
      <c r="O69" s="19">
        <f t="shared" si="5"/>
        <v>0</v>
      </c>
      <c r="P69" s="19">
        <v>1</v>
      </c>
      <c r="Q69" s="19">
        <v>0</v>
      </c>
      <c r="R69" s="19">
        <v>0</v>
      </c>
      <c r="S69" s="19">
        <v>0</v>
      </c>
      <c r="T69" s="19">
        <v>1</v>
      </c>
      <c r="U69" t="s">
        <v>137</v>
      </c>
      <c r="V69" s="19">
        <v>70</v>
      </c>
      <c r="W69" s="20">
        <v>3.0711221011044499E-2</v>
      </c>
      <c r="X69" s="8"/>
    </row>
    <row r="70" spans="1:24" x14ac:dyDescent="0.25">
      <c r="A70" s="23" t="s">
        <v>1012</v>
      </c>
      <c r="B70" s="18" t="s">
        <v>138</v>
      </c>
      <c r="C70" s="18" t="s">
        <v>7</v>
      </c>
      <c r="D70" s="5" t="s">
        <v>22</v>
      </c>
      <c r="E70" s="19">
        <v>0</v>
      </c>
      <c r="F70" s="19">
        <v>0</v>
      </c>
      <c r="G70" s="19">
        <v>0</v>
      </c>
      <c r="H70" s="19">
        <v>0</v>
      </c>
      <c r="I70" s="19">
        <v>1</v>
      </c>
      <c r="J70" s="19">
        <v>1</v>
      </c>
      <c r="K70" s="19">
        <f t="shared" si="3"/>
        <v>0</v>
      </c>
      <c r="L70" s="19">
        <v>1</v>
      </c>
      <c r="M70" s="19">
        <f t="shared" si="4"/>
        <v>0</v>
      </c>
      <c r="N70" s="19">
        <v>1</v>
      </c>
      <c r="O70" s="19">
        <f t="shared" si="5"/>
        <v>0</v>
      </c>
      <c r="P70" s="19">
        <v>1</v>
      </c>
      <c r="Q70" s="19">
        <v>0</v>
      </c>
      <c r="R70" s="19">
        <v>0</v>
      </c>
      <c r="S70" s="19">
        <v>0</v>
      </c>
      <c r="T70" s="19">
        <v>1</v>
      </c>
      <c r="U70" t="s">
        <v>139</v>
      </c>
      <c r="V70" s="19">
        <v>71</v>
      </c>
      <c r="W70" s="20">
        <v>4.87876691283693E-2</v>
      </c>
      <c r="X70" s="8"/>
    </row>
    <row r="71" spans="1:24" x14ac:dyDescent="0.25">
      <c r="A71" s="23" t="s">
        <v>1013</v>
      </c>
      <c r="B71" s="18" t="s">
        <v>140</v>
      </c>
      <c r="C71" s="18" t="s">
        <v>7</v>
      </c>
      <c r="D71" s="5" t="s">
        <v>22</v>
      </c>
      <c r="E71" s="19">
        <v>0</v>
      </c>
      <c r="F71" s="19">
        <v>0</v>
      </c>
      <c r="G71" s="19">
        <v>0</v>
      </c>
      <c r="H71" s="19">
        <v>0</v>
      </c>
      <c r="I71" s="19">
        <v>1</v>
      </c>
      <c r="J71" s="19">
        <v>1</v>
      </c>
      <c r="K71" s="19">
        <f t="shared" si="3"/>
        <v>0</v>
      </c>
      <c r="L71" s="19">
        <v>1</v>
      </c>
      <c r="M71" s="19">
        <f t="shared" si="4"/>
        <v>0</v>
      </c>
      <c r="N71" s="19">
        <v>1</v>
      </c>
      <c r="O71" s="19">
        <f t="shared" si="5"/>
        <v>0</v>
      </c>
      <c r="P71" s="19">
        <v>1</v>
      </c>
      <c r="Q71" s="19">
        <v>0</v>
      </c>
      <c r="R71" s="19">
        <v>0</v>
      </c>
      <c r="S71" s="19">
        <v>0</v>
      </c>
      <c r="T71" s="19">
        <v>1</v>
      </c>
      <c r="U71" t="s">
        <v>141</v>
      </c>
      <c r="V71" s="19">
        <v>72</v>
      </c>
      <c r="W71" s="20">
        <v>0.183612923483159</v>
      </c>
      <c r="X71" s="8"/>
    </row>
    <row r="72" spans="1:24" x14ac:dyDescent="0.25">
      <c r="A72" s="23" t="s">
        <v>1014</v>
      </c>
      <c r="B72" s="15" t="s">
        <v>142</v>
      </c>
      <c r="C72" s="15" t="s">
        <v>25</v>
      </c>
      <c r="D72" s="5" t="s">
        <v>22</v>
      </c>
      <c r="E72" s="16">
        <v>0</v>
      </c>
      <c r="F72" s="16">
        <v>0</v>
      </c>
      <c r="G72" s="16">
        <v>0</v>
      </c>
      <c r="H72" s="16">
        <v>1</v>
      </c>
      <c r="I72" s="16">
        <v>0</v>
      </c>
      <c r="J72" s="16">
        <v>0</v>
      </c>
      <c r="K72" s="16">
        <f t="shared" si="3"/>
        <v>0</v>
      </c>
      <c r="L72" s="16">
        <v>0</v>
      </c>
      <c r="M72" s="16">
        <f t="shared" si="4"/>
        <v>0</v>
      </c>
      <c r="N72" s="16">
        <v>0</v>
      </c>
      <c r="O72" s="16">
        <f t="shared" si="5"/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/>
      <c r="V72" s="16">
        <v>73</v>
      </c>
      <c r="W72" s="17">
        <v>0.81528030568702881</v>
      </c>
      <c r="X72" s="8"/>
    </row>
    <row r="73" spans="1:24" x14ac:dyDescent="0.25">
      <c r="A73" s="23" t="s">
        <v>1015</v>
      </c>
      <c r="B73" s="18" t="s">
        <v>143</v>
      </c>
      <c r="C73" s="18" t="s">
        <v>7</v>
      </c>
      <c r="D73" s="5" t="s">
        <v>22</v>
      </c>
      <c r="E73" s="19">
        <v>0</v>
      </c>
      <c r="F73" s="19">
        <v>0</v>
      </c>
      <c r="G73" s="19">
        <v>0</v>
      </c>
      <c r="H73" s="19">
        <v>0</v>
      </c>
      <c r="I73" s="19">
        <v>1</v>
      </c>
      <c r="J73" s="19">
        <v>1</v>
      </c>
      <c r="K73" s="19">
        <f t="shared" si="3"/>
        <v>0</v>
      </c>
      <c r="L73" s="19">
        <v>1</v>
      </c>
      <c r="M73" s="19">
        <f t="shared" si="4"/>
        <v>0</v>
      </c>
      <c r="N73" s="19">
        <v>1</v>
      </c>
      <c r="O73" s="19">
        <f t="shared" si="5"/>
        <v>0</v>
      </c>
      <c r="P73" s="19">
        <v>1</v>
      </c>
      <c r="Q73" s="19">
        <v>0</v>
      </c>
      <c r="R73" s="19">
        <v>0</v>
      </c>
      <c r="S73" s="19">
        <v>0</v>
      </c>
      <c r="T73" s="19">
        <v>0</v>
      </c>
      <c r="U73" t="s">
        <v>144</v>
      </c>
      <c r="V73" s="19">
        <v>74</v>
      </c>
      <c r="W73" s="20">
        <v>0.32377267245203101</v>
      </c>
      <c r="X73" s="8"/>
    </row>
    <row r="74" spans="1:24" x14ac:dyDescent="0.25">
      <c r="A74" s="23" t="s">
        <v>1016</v>
      </c>
      <c r="B74" s="18" t="s">
        <v>145</v>
      </c>
      <c r="C74" s="18" t="s">
        <v>7</v>
      </c>
      <c r="D74" s="5" t="s">
        <v>22</v>
      </c>
      <c r="E74" s="19">
        <v>0</v>
      </c>
      <c r="F74" s="19">
        <v>0</v>
      </c>
      <c r="G74" s="19">
        <v>0</v>
      </c>
      <c r="H74" s="19">
        <v>0</v>
      </c>
      <c r="I74" s="19">
        <v>1</v>
      </c>
      <c r="J74" s="19">
        <v>1</v>
      </c>
      <c r="K74" s="19">
        <f t="shared" si="3"/>
        <v>0</v>
      </c>
      <c r="L74" s="19">
        <v>1</v>
      </c>
      <c r="M74" s="19">
        <f t="shared" si="4"/>
        <v>0</v>
      </c>
      <c r="N74" s="19">
        <v>1</v>
      </c>
      <c r="O74" s="19">
        <f t="shared" si="5"/>
        <v>0</v>
      </c>
      <c r="P74" s="19">
        <v>1</v>
      </c>
      <c r="Q74" s="19">
        <v>0</v>
      </c>
      <c r="R74" s="19">
        <v>0</v>
      </c>
      <c r="S74" s="19">
        <v>0</v>
      </c>
      <c r="T74" s="19">
        <v>0</v>
      </c>
      <c r="U74" t="s">
        <v>146</v>
      </c>
      <c r="V74" s="19">
        <v>75</v>
      </c>
      <c r="W74" s="20">
        <v>0.25760396307456102</v>
      </c>
      <c r="X74" s="8"/>
    </row>
    <row r="75" spans="1:24" x14ac:dyDescent="0.25">
      <c r="A75" s="23" t="s">
        <v>1017</v>
      </c>
      <c r="B75" s="18" t="s">
        <v>147</v>
      </c>
      <c r="C75" s="18" t="s">
        <v>7</v>
      </c>
      <c r="D75" s="5" t="s">
        <v>22</v>
      </c>
      <c r="E75" s="19">
        <v>0</v>
      </c>
      <c r="F75" s="19">
        <v>0</v>
      </c>
      <c r="G75" s="19">
        <v>0</v>
      </c>
      <c r="H75" s="19">
        <v>0</v>
      </c>
      <c r="I75" s="19">
        <v>1</v>
      </c>
      <c r="J75" s="19">
        <v>1</v>
      </c>
      <c r="K75" s="19">
        <f t="shared" si="3"/>
        <v>0</v>
      </c>
      <c r="L75" s="19">
        <v>1</v>
      </c>
      <c r="M75" s="19">
        <f t="shared" si="4"/>
        <v>0</v>
      </c>
      <c r="N75" s="19">
        <v>1</v>
      </c>
      <c r="O75" s="19">
        <f t="shared" si="5"/>
        <v>0</v>
      </c>
      <c r="P75" s="19">
        <v>1</v>
      </c>
      <c r="Q75" s="19">
        <v>0</v>
      </c>
      <c r="R75" s="19">
        <v>0</v>
      </c>
      <c r="S75" s="19">
        <v>0</v>
      </c>
      <c r="T75" s="19">
        <v>0</v>
      </c>
      <c r="U75" t="s">
        <v>148</v>
      </c>
      <c r="V75" s="19">
        <v>76</v>
      </c>
      <c r="W75" s="20">
        <v>0.11986204653164501</v>
      </c>
      <c r="X75" s="8"/>
    </row>
    <row r="76" spans="1:24" x14ac:dyDescent="0.25">
      <c r="A76" s="23" t="s">
        <v>1018</v>
      </c>
      <c r="B76" s="18" t="s">
        <v>149</v>
      </c>
      <c r="C76" s="18" t="s">
        <v>7</v>
      </c>
      <c r="D76" s="5" t="s">
        <v>22</v>
      </c>
      <c r="E76" s="19">
        <v>0</v>
      </c>
      <c r="F76" s="19">
        <v>0</v>
      </c>
      <c r="G76" s="19">
        <v>0</v>
      </c>
      <c r="H76" s="19">
        <v>0</v>
      </c>
      <c r="I76" s="19">
        <v>1</v>
      </c>
      <c r="J76" s="19">
        <v>1</v>
      </c>
      <c r="K76" s="19">
        <f t="shared" si="3"/>
        <v>0</v>
      </c>
      <c r="L76" s="19">
        <v>1</v>
      </c>
      <c r="M76" s="19">
        <f t="shared" si="4"/>
        <v>0</v>
      </c>
      <c r="N76" s="19">
        <v>1</v>
      </c>
      <c r="O76" s="19">
        <f t="shared" si="5"/>
        <v>0</v>
      </c>
      <c r="P76" s="19">
        <v>1</v>
      </c>
      <c r="Q76" s="19">
        <v>0</v>
      </c>
      <c r="R76" s="19">
        <v>0</v>
      </c>
      <c r="S76" s="19">
        <v>0</v>
      </c>
      <c r="T76" s="19">
        <v>1</v>
      </c>
      <c r="U76" t="s">
        <v>150</v>
      </c>
      <c r="V76" s="19">
        <v>77</v>
      </c>
      <c r="W76" s="20">
        <v>5.0925216701686003E-2</v>
      </c>
      <c r="X76" s="8"/>
    </row>
    <row r="77" spans="1:24" x14ac:dyDescent="0.25">
      <c r="A77" s="23" t="s">
        <v>1019</v>
      </c>
      <c r="B77" s="18" t="s">
        <v>151</v>
      </c>
      <c r="C77" s="18" t="s">
        <v>7</v>
      </c>
      <c r="D77" s="5" t="s">
        <v>22</v>
      </c>
      <c r="E77" s="19">
        <v>0</v>
      </c>
      <c r="F77" s="19">
        <v>0</v>
      </c>
      <c r="G77" s="19">
        <v>0</v>
      </c>
      <c r="H77" s="19">
        <v>0</v>
      </c>
      <c r="I77" s="19">
        <v>1</v>
      </c>
      <c r="J77" s="19">
        <v>1</v>
      </c>
      <c r="K77" s="19">
        <f t="shared" si="3"/>
        <v>0</v>
      </c>
      <c r="L77" s="19">
        <v>1</v>
      </c>
      <c r="M77" s="19">
        <f t="shared" si="4"/>
        <v>0</v>
      </c>
      <c r="N77" s="19">
        <v>1</v>
      </c>
      <c r="O77" s="19">
        <f t="shared" si="5"/>
        <v>0</v>
      </c>
      <c r="P77" s="19">
        <v>1</v>
      </c>
      <c r="Q77" s="19">
        <v>0</v>
      </c>
      <c r="R77" s="19">
        <v>0</v>
      </c>
      <c r="S77" s="19">
        <v>0</v>
      </c>
      <c r="T77" s="19">
        <v>1</v>
      </c>
      <c r="U77" t="s">
        <v>152</v>
      </c>
      <c r="V77" s="19">
        <v>78</v>
      </c>
      <c r="W77" s="20">
        <v>6.3116406927105795E-2</v>
      </c>
      <c r="X77" s="8"/>
    </row>
    <row r="78" spans="1:24" x14ac:dyDescent="0.25">
      <c r="A78" s="23" t="s">
        <v>1020</v>
      </c>
      <c r="B78" s="15" t="s">
        <v>153</v>
      </c>
      <c r="C78" s="15" t="s">
        <v>25</v>
      </c>
      <c r="D78" s="5" t="s">
        <v>22</v>
      </c>
      <c r="E78" s="16">
        <v>0</v>
      </c>
      <c r="F78" s="16">
        <v>0</v>
      </c>
      <c r="G78" s="16">
        <v>0</v>
      </c>
      <c r="H78" s="16">
        <v>1</v>
      </c>
      <c r="I78" s="16">
        <v>0</v>
      </c>
      <c r="J78" s="16">
        <v>0</v>
      </c>
      <c r="K78" s="16">
        <f t="shared" si="3"/>
        <v>0</v>
      </c>
      <c r="L78" s="16">
        <v>0</v>
      </c>
      <c r="M78" s="16">
        <f t="shared" si="4"/>
        <v>0</v>
      </c>
      <c r="N78" s="16">
        <v>0</v>
      </c>
      <c r="O78" s="16">
        <f t="shared" si="5"/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/>
      <c r="V78" s="16">
        <v>79</v>
      </c>
      <c r="W78" s="17">
        <v>9.4443892515997094E-2</v>
      </c>
      <c r="X78" s="8"/>
    </row>
    <row r="79" spans="1:24" x14ac:dyDescent="0.25">
      <c r="A79" s="23" t="s">
        <v>1021</v>
      </c>
      <c r="B79" s="18" t="s">
        <v>154</v>
      </c>
      <c r="C79" s="18" t="s">
        <v>7</v>
      </c>
      <c r="D79" s="5" t="s">
        <v>22</v>
      </c>
      <c r="E79" s="19">
        <v>0</v>
      </c>
      <c r="F79" s="19">
        <v>0</v>
      </c>
      <c r="G79" s="19">
        <v>0</v>
      </c>
      <c r="H79" s="19">
        <v>0</v>
      </c>
      <c r="I79" s="19">
        <v>1</v>
      </c>
      <c r="J79" s="19">
        <v>1</v>
      </c>
      <c r="K79" s="19">
        <f t="shared" si="3"/>
        <v>0</v>
      </c>
      <c r="L79" s="19">
        <v>1</v>
      </c>
      <c r="M79" s="19">
        <f t="shared" si="4"/>
        <v>0</v>
      </c>
      <c r="N79" s="19">
        <v>1</v>
      </c>
      <c r="O79" s="19">
        <f t="shared" si="5"/>
        <v>0</v>
      </c>
      <c r="P79" s="19">
        <v>1</v>
      </c>
      <c r="Q79" s="19">
        <v>0</v>
      </c>
      <c r="R79" s="19">
        <v>0</v>
      </c>
      <c r="S79" s="19">
        <v>0</v>
      </c>
      <c r="T79" s="19">
        <v>0</v>
      </c>
      <c r="U79" t="s">
        <v>155</v>
      </c>
      <c r="V79" s="19">
        <v>80</v>
      </c>
      <c r="W79" s="20">
        <v>9.4443892515997094E-2</v>
      </c>
      <c r="X79" s="8"/>
    </row>
    <row r="80" spans="1:24" x14ac:dyDescent="0.25">
      <c r="A80" s="23" t="s">
        <v>1022</v>
      </c>
      <c r="B80" s="15" t="s">
        <v>156</v>
      </c>
      <c r="C80" s="15" t="s">
        <v>25</v>
      </c>
      <c r="D80" s="5" t="s">
        <v>22</v>
      </c>
      <c r="E80" s="16">
        <v>0</v>
      </c>
      <c r="F80" s="16">
        <v>0</v>
      </c>
      <c r="G80" s="16">
        <v>0</v>
      </c>
      <c r="H80" s="16">
        <v>1</v>
      </c>
      <c r="I80" s="16">
        <v>0</v>
      </c>
      <c r="J80" s="16">
        <v>0</v>
      </c>
      <c r="K80" s="16">
        <f t="shared" si="3"/>
        <v>0</v>
      </c>
      <c r="L80" s="16">
        <v>0</v>
      </c>
      <c r="M80" s="16">
        <f t="shared" si="4"/>
        <v>0</v>
      </c>
      <c r="N80" s="16">
        <v>0</v>
      </c>
      <c r="O80" s="16">
        <f t="shared" si="5"/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/>
      <c r="V80" s="16">
        <v>81</v>
      </c>
      <c r="W80" s="17">
        <v>0.58845399102016804</v>
      </c>
      <c r="X80" s="8"/>
    </row>
    <row r="81" spans="1:24" x14ac:dyDescent="0.25">
      <c r="A81" s="23" t="s">
        <v>1023</v>
      </c>
      <c r="B81" s="18" t="s">
        <v>156</v>
      </c>
      <c r="C81" s="18" t="s">
        <v>7</v>
      </c>
      <c r="D81" s="5" t="s">
        <v>22</v>
      </c>
      <c r="E81" s="19">
        <v>0</v>
      </c>
      <c r="F81" s="19">
        <v>0</v>
      </c>
      <c r="G81" s="19">
        <v>0</v>
      </c>
      <c r="H81" s="19">
        <v>0</v>
      </c>
      <c r="I81" s="19">
        <v>1</v>
      </c>
      <c r="J81" s="19">
        <v>0</v>
      </c>
      <c r="K81" s="19">
        <f t="shared" si="3"/>
        <v>1</v>
      </c>
      <c r="L81" s="19">
        <v>1</v>
      </c>
      <c r="M81" s="19">
        <f t="shared" si="4"/>
        <v>0</v>
      </c>
      <c r="N81" s="19">
        <v>1</v>
      </c>
      <c r="O81" s="19">
        <f t="shared" si="5"/>
        <v>0</v>
      </c>
      <c r="P81" s="19">
        <v>1</v>
      </c>
      <c r="Q81" s="19">
        <v>0</v>
      </c>
      <c r="R81" s="19">
        <v>0</v>
      </c>
      <c r="S81" s="19">
        <v>0</v>
      </c>
      <c r="T81" s="19">
        <v>0</v>
      </c>
      <c r="U81" t="s">
        <v>157</v>
      </c>
      <c r="V81" s="19">
        <v>82</v>
      </c>
      <c r="W81" s="20">
        <v>0.58845399102016804</v>
      </c>
      <c r="X81" s="8"/>
    </row>
    <row r="82" spans="1:24" x14ac:dyDescent="0.25">
      <c r="A82" s="23" t="s">
        <v>1024</v>
      </c>
      <c r="B82" s="12" t="s">
        <v>158</v>
      </c>
      <c r="C82" s="12" t="s">
        <v>5</v>
      </c>
      <c r="D82" s="5" t="s">
        <v>22</v>
      </c>
      <c r="E82" s="13">
        <v>0</v>
      </c>
      <c r="F82" s="13">
        <v>0</v>
      </c>
      <c r="G82" s="13">
        <v>1</v>
      </c>
      <c r="H82" s="13">
        <v>0</v>
      </c>
      <c r="I82" s="13">
        <v>0</v>
      </c>
      <c r="J82" s="13">
        <v>0</v>
      </c>
      <c r="K82" s="13">
        <f t="shared" si="3"/>
        <v>0</v>
      </c>
      <c r="L82" s="13">
        <v>0</v>
      </c>
      <c r="M82" s="13">
        <f t="shared" si="4"/>
        <v>0</v>
      </c>
      <c r="N82" s="13">
        <v>0</v>
      </c>
      <c r="O82" s="13">
        <f t="shared" si="5"/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/>
      <c r="V82" s="13">
        <v>83</v>
      </c>
      <c r="W82" s="14">
        <v>0.65911803227963051</v>
      </c>
      <c r="X82" s="8"/>
    </row>
    <row r="83" spans="1:24" x14ac:dyDescent="0.25">
      <c r="A83" s="23" t="s">
        <v>1025</v>
      </c>
      <c r="B83" s="15" t="s">
        <v>159</v>
      </c>
      <c r="C83" s="15" t="s">
        <v>25</v>
      </c>
      <c r="D83" s="5" t="s">
        <v>22</v>
      </c>
      <c r="E83" s="16">
        <v>0</v>
      </c>
      <c r="F83" s="16">
        <v>0</v>
      </c>
      <c r="G83" s="16">
        <v>0</v>
      </c>
      <c r="H83" s="16">
        <v>1</v>
      </c>
      <c r="I83" s="16">
        <v>0</v>
      </c>
      <c r="J83" s="16">
        <v>0</v>
      </c>
      <c r="K83" s="16">
        <f t="shared" si="3"/>
        <v>0</v>
      </c>
      <c r="L83" s="16">
        <v>0</v>
      </c>
      <c r="M83" s="16">
        <f t="shared" si="4"/>
        <v>0</v>
      </c>
      <c r="N83" s="16">
        <v>0</v>
      </c>
      <c r="O83" s="16">
        <f t="shared" si="5"/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/>
      <c r="V83" s="16">
        <v>84</v>
      </c>
      <c r="W83" s="17">
        <v>0.58428628830041052</v>
      </c>
      <c r="X83" s="8"/>
    </row>
    <row r="84" spans="1:24" x14ac:dyDescent="0.25">
      <c r="A84" s="23" t="s">
        <v>1026</v>
      </c>
      <c r="B84" s="18" t="s">
        <v>160</v>
      </c>
      <c r="C84" s="18" t="s">
        <v>7</v>
      </c>
      <c r="D84" s="5" t="s">
        <v>22</v>
      </c>
      <c r="E84" s="19">
        <v>0</v>
      </c>
      <c r="F84" s="19">
        <v>0</v>
      </c>
      <c r="G84" s="19">
        <v>0</v>
      </c>
      <c r="H84" s="19">
        <v>0</v>
      </c>
      <c r="I84" s="19">
        <v>1</v>
      </c>
      <c r="J84" s="19">
        <v>1</v>
      </c>
      <c r="K84" s="19">
        <f t="shared" si="3"/>
        <v>0</v>
      </c>
      <c r="L84" s="19">
        <v>1</v>
      </c>
      <c r="M84" s="19">
        <f t="shared" si="4"/>
        <v>0</v>
      </c>
      <c r="N84" s="19">
        <v>1</v>
      </c>
      <c r="O84" s="19">
        <f t="shared" si="5"/>
        <v>0</v>
      </c>
      <c r="P84" s="19">
        <v>1</v>
      </c>
      <c r="Q84" s="19">
        <v>0</v>
      </c>
      <c r="R84" s="19">
        <v>0</v>
      </c>
      <c r="S84" s="19">
        <v>0</v>
      </c>
      <c r="T84" s="19">
        <v>0</v>
      </c>
      <c r="U84" t="s">
        <v>161</v>
      </c>
      <c r="V84" s="19">
        <v>85</v>
      </c>
      <c r="W84" s="20">
        <v>0.55307218989695195</v>
      </c>
      <c r="X84" s="8"/>
    </row>
    <row r="85" spans="1:24" x14ac:dyDescent="0.25">
      <c r="A85" s="23" t="s">
        <v>1027</v>
      </c>
      <c r="B85" s="18" t="s">
        <v>162</v>
      </c>
      <c r="C85" s="18" t="s">
        <v>7</v>
      </c>
      <c r="D85" s="5" t="s">
        <v>22</v>
      </c>
      <c r="E85" s="19">
        <v>0</v>
      </c>
      <c r="F85" s="19">
        <v>0</v>
      </c>
      <c r="G85" s="19">
        <v>0</v>
      </c>
      <c r="H85" s="19">
        <v>0</v>
      </c>
      <c r="I85" s="19">
        <v>1</v>
      </c>
      <c r="J85" s="19">
        <v>1</v>
      </c>
      <c r="K85" s="19">
        <f t="shared" si="3"/>
        <v>0</v>
      </c>
      <c r="L85" s="19">
        <v>1</v>
      </c>
      <c r="M85" s="19">
        <f t="shared" si="4"/>
        <v>0</v>
      </c>
      <c r="N85" s="19">
        <v>1</v>
      </c>
      <c r="O85" s="19">
        <f t="shared" si="5"/>
        <v>0</v>
      </c>
      <c r="P85" s="19">
        <v>1</v>
      </c>
      <c r="Q85" s="19">
        <v>0</v>
      </c>
      <c r="R85" s="19">
        <v>0</v>
      </c>
      <c r="S85" s="19">
        <v>0</v>
      </c>
      <c r="T85" s="19">
        <v>1</v>
      </c>
      <c r="U85" t="s">
        <v>163</v>
      </c>
      <c r="V85" s="19">
        <v>86</v>
      </c>
      <c r="W85" s="20">
        <v>3.1214098403458599E-2</v>
      </c>
      <c r="X85" s="8"/>
    </row>
    <row r="86" spans="1:24" x14ac:dyDescent="0.25">
      <c r="A86" s="23" t="s">
        <v>1028</v>
      </c>
      <c r="B86" s="15" t="s">
        <v>164</v>
      </c>
      <c r="C86" s="15" t="s">
        <v>25</v>
      </c>
      <c r="D86" s="5" t="s">
        <v>22</v>
      </c>
      <c r="E86" s="16">
        <v>0</v>
      </c>
      <c r="F86" s="16">
        <v>0</v>
      </c>
      <c r="G86" s="16">
        <v>0</v>
      </c>
      <c r="H86" s="16">
        <v>1</v>
      </c>
      <c r="I86" s="16">
        <v>0</v>
      </c>
      <c r="J86" s="16">
        <v>0</v>
      </c>
      <c r="K86" s="16">
        <f t="shared" si="3"/>
        <v>0</v>
      </c>
      <c r="L86" s="16">
        <v>0</v>
      </c>
      <c r="M86" s="16">
        <f t="shared" si="4"/>
        <v>0</v>
      </c>
      <c r="N86" s="16">
        <v>0</v>
      </c>
      <c r="O86" s="16">
        <f t="shared" si="5"/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/>
      <c r="V86" s="16">
        <v>87</v>
      </c>
      <c r="W86" s="17">
        <v>7.4831743979220003E-2</v>
      </c>
      <c r="X86" s="8"/>
    </row>
    <row r="87" spans="1:24" x14ac:dyDescent="0.25">
      <c r="A87" s="23" t="s">
        <v>1029</v>
      </c>
      <c r="B87" s="18" t="s">
        <v>165</v>
      </c>
      <c r="C87" s="18" t="s">
        <v>7</v>
      </c>
      <c r="D87" s="5" t="s">
        <v>22</v>
      </c>
      <c r="E87" s="19">
        <v>0</v>
      </c>
      <c r="F87" s="19">
        <v>0</v>
      </c>
      <c r="G87" s="19">
        <v>0</v>
      </c>
      <c r="H87" s="19">
        <v>0</v>
      </c>
      <c r="I87" s="19">
        <v>1</v>
      </c>
      <c r="J87" s="19">
        <v>1</v>
      </c>
      <c r="K87" s="19">
        <f t="shared" si="3"/>
        <v>0</v>
      </c>
      <c r="L87" s="19">
        <v>1</v>
      </c>
      <c r="M87" s="19">
        <f t="shared" si="4"/>
        <v>0</v>
      </c>
      <c r="N87" s="19">
        <v>1</v>
      </c>
      <c r="O87" s="19">
        <f t="shared" si="5"/>
        <v>0</v>
      </c>
      <c r="P87" s="19">
        <v>1</v>
      </c>
      <c r="Q87" s="19">
        <v>0</v>
      </c>
      <c r="R87" s="19">
        <v>0</v>
      </c>
      <c r="S87" s="19">
        <v>0</v>
      </c>
      <c r="T87" s="19">
        <v>0</v>
      </c>
      <c r="U87" t="s">
        <v>166</v>
      </c>
      <c r="V87" s="19">
        <v>88</v>
      </c>
      <c r="W87" s="20">
        <v>7.4831743979220003E-2</v>
      </c>
      <c r="X87" s="8"/>
    </row>
    <row r="88" spans="1:24" x14ac:dyDescent="0.25">
      <c r="A88" s="23" t="s">
        <v>1030</v>
      </c>
      <c r="B88" s="12" t="s">
        <v>167</v>
      </c>
      <c r="C88" s="12" t="s">
        <v>5</v>
      </c>
      <c r="D88" s="5" t="s">
        <v>22</v>
      </c>
      <c r="E88" s="13">
        <v>0</v>
      </c>
      <c r="F88" s="13">
        <v>0</v>
      </c>
      <c r="G88" s="13">
        <v>1</v>
      </c>
      <c r="H88" s="13">
        <v>0</v>
      </c>
      <c r="I88" s="13">
        <v>0</v>
      </c>
      <c r="J88" s="13">
        <v>0</v>
      </c>
      <c r="K88" s="13">
        <f t="shared" si="3"/>
        <v>0</v>
      </c>
      <c r="L88" s="13">
        <v>0</v>
      </c>
      <c r="M88" s="13">
        <f t="shared" si="4"/>
        <v>0</v>
      </c>
      <c r="N88" s="13">
        <v>0</v>
      </c>
      <c r="O88" s="13">
        <f t="shared" si="5"/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/>
      <c r="V88" s="13">
        <v>89</v>
      </c>
      <c r="W88" s="14">
        <v>2.118684679233878</v>
      </c>
      <c r="X88" s="8"/>
    </row>
    <row r="89" spans="1:24" x14ac:dyDescent="0.25">
      <c r="A89" s="23" t="s">
        <v>1031</v>
      </c>
      <c r="B89" s="15" t="s">
        <v>168</v>
      </c>
      <c r="C89" s="15" t="s">
        <v>25</v>
      </c>
      <c r="D89" s="5" t="s">
        <v>22</v>
      </c>
      <c r="E89" s="16">
        <v>0</v>
      </c>
      <c r="F89" s="16">
        <v>0</v>
      </c>
      <c r="G89" s="16">
        <v>0</v>
      </c>
      <c r="H89" s="16">
        <v>1</v>
      </c>
      <c r="I89" s="16">
        <v>0</v>
      </c>
      <c r="J89" s="16">
        <v>0</v>
      </c>
      <c r="K89" s="16">
        <f t="shared" si="3"/>
        <v>0</v>
      </c>
      <c r="L89" s="16">
        <v>0</v>
      </c>
      <c r="M89" s="16">
        <f t="shared" si="4"/>
        <v>0</v>
      </c>
      <c r="N89" s="16">
        <v>0</v>
      </c>
      <c r="O89" s="16">
        <f t="shared" si="5"/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/>
      <c r="V89" s="16">
        <v>90</v>
      </c>
      <c r="W89" s="17">
        <v>2.0374587826121142</v>
      </c>
      <c r="X89" s="8"/>
    </row>
    <row r="90" spans="1:24" x14ac:dyDescent="0.25">
      <c r="A90" s="23" t="s">
        <v>1032</v>
      </c>
      <c r="B90" s="18" t="s">
        <v>169</v>
      </c>
      <c r="C90" s="18" t="s">
        <v>7</v>
      </c>
      <c r="D90" s="5" t="s">
        <v>22</v>
      </c>
      <c r="E90" s="19">
        <v>0</v>
      </c>
      <c r="F90" s="19">
        <v>0</v>
      </c>
      <c r="G90" s="19">
        <v>0</v>
      </c>
      <c r="H90" s="19">
        <v>0</v>
      </c>
      <c r="I90" s="19">
        <v>1</v>
      </c>
      <c r="J90" s="19">
        <v>0</v>
      </c>
      <c r="K90" s="19">
        <f t="shared" si="3"/>
        <v>1</v>
      </c>
      <c r="L90" s="19">
        <v>1</v>
      </c>
      <c r="M90" s="19">
        <f t="shared" si="4"/>
        <v>0</v>
      </c>
      <c r="N90" s="19">
        <v>1</v>
      </c>
      <c r="O90" s="19">
        <f t="shared" si="5"/>
        <v>0</v>
      </c>
      <c r="P90" s="19">
        <v>1</v>
      </c>
      <c r="Q90" s="19">
        <v>0</v>
      </c>
      <c r="R90" s="19">
        <v>0</v>
      </c>
      <c r="S90" s="19">
        <v>0</v>
      </c>
      <c r="T90" s="19">
        <v>0</v>
      </c>
      <c r="U90" t="s">
        <v>170</v>
      </c>
      <c r="V90" s="19">
        <v>91</v>
      </c>
      <c r="W90" s="20">
        <v>0.80309173995706495</v>
      </c>
      <c r="X90" s="8"/>
    </row>
    <row r="91" spans="1:24" x14ac:dyDescent="0.25">
      <c r="A91" s="23" t="s">
        <v>1033</v>
      </c>
      <c r="B91" s="18" t="s">
        <v>171</v>
      </c>
      <c r="C91" s="18" t="s">
        <v>7</v>
      </c>
      <c r="D91" s="5" t="s">
        <v>22</v>
      </c>
      <c r="E91" s="19">
        <v>0</v>
      </c>
      <c r="F91" s="19">
        <v>0</v>
      </c>
      <c r="G91" s="19">
        <v>0</v>
      </c>
      <c r="H91" s="19">
        <v>0</v>
      </c>
      <c r="I91" s="19">
        <v>1</v>
      </c>
      <c r="J91" s="19">
        <v>0</v>
      </c>
      <c r="K91" s="19">
        <f t="shared" si="3"/>
        <v>1</v>
      </c>
      <c r="L91" s="19">
        <v>1</v>
      </c>
      <c r="M91" s="19">
        <f t="shared" si="4"/>
        <v>0</v>
      </c>
      <c r="N91" s="19">
        <v>1</v>
      </c>
      <c r="O91" s="19">
        <f t="shared" si="5"/>
        <v>0</v>
      </c>
      <c r="P91" s="19">
        <v>1</v>
      </c>
      <c r="Q91" s="19">
        <v>0</v>
      </c>
      <c r="R91" s="19">
        <v>0</v>
      </c>
      <c r="S91" s="19">
        <v>0</v>
      </c>
      <c r="T91" s="19">
        <v>0</v>
      </c>
      <c r="U91" t="s">
        <v>172</v>
      </c>
      <c r="V91" s="19">
        <v>92</v>
      </c>
      <c r="W91" s="20">
        <v>0.37426094188857401</v>
      </c>
      <c r="X91" s="8"/>
    </row>
    <row r="92" spans="1:24" x14ac:dyDescent="0.25">
      <c r="A92" s="23" t="s">
        <v>1034</v>
      </c>
      <c r="B92" s="18" t="s">
        <v>173</v>
      </c>
      <c r="C92" s="18" t="s">
        <v>7</v>
      </c>
      <c r="D92" s="5" t="s">
        <v>22</v>
      </c>
      <c r="E92" s="19">
        <v>0</v>
      </c>
      <c r="F92" s="19">
        <v>0</v>
      </c>
      <c r="G92" s="19">
        <v>0</v>
      </c>
      <c r="H92" s="19">
        <v>0</v>
      </c>
      <c r="I92" s="19">
        <v>1</v>
      </c>
      <c r="J92" s="19">
        <v>0</v>
      </c>
      <c r="K92" s="19">
        <f t="shared" si="3"/>
        <v>1</v>
      </c>
      <c r="L92" s="19">
        <v>1</v>
      </c>
      <c r="M92" s="19">
        <f t="shared" si="4"/>
        <v>0</v>
      </c>
      <c r="N92" s="19">
        <v>1</v>
      </c>
      <c r="O92" s="19">
        <f t="shared" si="5"/>
        <v>0</v>
      </c>
      <c r="P92" s="19">
        <v>1</v>
      </c>
      <c r="Q92" s="19">
        <v>0</v>
      </c>
      <c r="R92" s="19">
        <v>0</v>
      </c>
      <c r="S92" s="19">
        <v>0</v>
      </c>
      <c r="T92" s="19">
        <v>0</v>
      </c>
      <c r="U92" t="s">
        <v>174</v>
      </c>
      <c r="V92" s="19">
        <v>93</v>
      </c>
      <c r="W92" s="20">
        <v>0.13843746768418899</v>
      </c>
      <c r="X92" s="8"/>
    </row>
    <row r="93" spans="1:24" x14ac:dyDescent="0.25">
      <c r="A93" s="23" t="s">
        <v>1035</v>
      </c>
      <c r="B93" s="18" t="s">
        <v>175</v>
      </c>
      <c r="C93" s="18" t="s">
        <v>7</v>
      </c>
      <c r="D93" s="5" t="s">
        <v>22</v>
      </c>
      <c r="E93" s="19">
        <v>0</v>
      </c>
      <c r="F93" s="19">
        <v>0</v>
      </c>
      <c r="G93" s="19">
        <v>0</v>
      </c>
      <c r="H93" s="19">
        <v>0</v>
      </c>
      <c r="I93" s="19">
        <v>1</v>
      </c>
      <c r="J93" s="19">
        <v>0</v>
      </c>
      <c r="K93" s="19">
        <f t="shared" si="3"/>
        <v>1</v>
      </c>
      <c r="L93" s="19">
        <v>0</v>
      </c>
      <c r="M93" s="19">
        <f t="shared" si="4"/>
        <v>1</v>
      </c>
      <c r="N93" s="19">
        <v>1</v>
      </c>
      <c r="O93" s="19">
        <f t="shared" si="5"/>
        <v>0</v>
      </c>
      <c r="P93" s="19">
        <v>1</v>
      </c>
      <c r="Q93" s="19">
        <v>0</v>
      </c>
      <c r="R93" s="19">
        <v>0</v>
      </c>
      <c r="S93" s="19">
        <v>0</v>
      </c>
      <c r="T93" s="19">
        <v>0</v>
      </c>
      <c r="U93" t="s">
        <v>176</v>
      </c>
      <c r="V93" s="19">
        <v>94</v>
      </c>
      <c r="W93" s="20">
        <v>0.17530310464284601</v>
      </c>
      <c r="X93" s="8"/>
    </row>
    <row r="94" spans="1:24" x14ac:dyDescent="0.25">
      <c r="A94" s="23" t="s">
        <v>1036</v>
      </c>
      <c r="B94" s="18" t="s">
        <v>177</v>
      </c>
      <c r="C94" s="18" t="s">
        <v>7</v>
      </c>
      <c r="D94" s="5" t="s">
        <v>22</v>
      </c>
      <c r="E94" s="19">
        <v>0</v>
      </c>
      <c r="F94" s="19">
        <v>0</v>
      </c>
      <c r="G94" s="19">
        <v>0</v>
      </c>
      <c r="H94" s="19">
        <v>0</v>
      </c>
      <c r="I94" s="19">
        <v>1</v>
      </c>
      <c r="J94" s="19">
        <v>0</v>
      </c>
      <c r="K94" s="19">
        <f t="shared" si="3"/>
        <v>1</v>
      </c>
      <c r="L94" s="19">
        <v>1</v>
      </c>
      <c r="M94" s="19">
        <f t="shared" si="4"/>
        <v>0</v>
      </c>
      <c r="N94" s="19">
        <v>1</v>
      </c>
      <c r="O94" s="19">
        <f t="shared" si="5"/>
        <v>0</v>
      </c>
      <c r="P94" s="19">
        <v>1</v>
      </c>
      <c r="Q94" s="19">
        <v>0</v>
      </c>
      <c r="R94" s="19">
        <v>0</v>
      </c>
      <c r="S94" s="19">
        <v>0</v>
      </c>
      <c r="T94" s="19">
        <v>0</v>
      </c>
      <c r="U94" t="s">
        <v>178</v>
      </c>
      <c r="V94" s="19">
        <v>95</v>
      </c>
      <c r="W94" s="20">
        <v>7.1448493247134301E-2</v>
      </c>
      <c r="X94" s="8"/>
    </row>
    <row r="95" spans="1:24" x14ac:dyDescent="0.25">
      <c r="A95" s="23" t="s">
        <v>1037</v>
      </c>
      <c r="B95" s="18" t="s">
        <v>179</v>
      </c>
      <c r="C95" s="18" t="s">
        <v>7</v>
      </c>
      <c r="D95" s="5" t="s">
        <v>22</v>
      </c>
      <c r="E95" s="19">
        <v>0</v>
      </c>
      <c r="F95" s="19">
        <v>0</v>
      </c>
      <c r="G95" s="19">
        <v>0</v>
      </c>
      <c r="H95" s="19">
        <v>0</v>
      </c>
      <c r="I95" s="19">
        <v>1</v>
      </c>
      <c r="J95" s="19">
        <v>0</v>
      </c>
      <c r="K95" s="19">
        <f t="shared" si="3"/>
        <v>1</v>
      </c>
      <c r="L95" s="19">
        <v>1</v>
      </c>
      <c r="M95" s="19">
        <f t="shared" si="4"/>
        <v>0</v>
      </c>
      <c r="N95" s="19">
        <v>1</v>
      </c>
      <c r="O95" s="19">
        <f t="shared" si="5"/>
        <v>0</v>
      </c>
      <c r="P95" s="19">
        <v>1</v>
      </c>
      <c r="Q95" s="19">
        <v>0</v>
      </c>
      <c r="R95" s="19">
        <v>0</v>
      </c>
      <c r="S95" s="19">
        <v>0</v>
      </c>
      <c r="T95" s="19">
        <v>0</v>
      </c>
      <c r="U95" t="s">
        <v>180</v>
      </c>
      <c r="V95" s="19">
        <v>96</v>
      </c>
      <c r="W95" s="20">
        <v>6.4108323193385899E-2</v>
      </c>
      <c r="X95" s="8"/>
    </row>
    <row r="96" spans="1:24" x14ac:dyDescent="0.25">
      <c r="A96" s="23" t="s">
        <v>1038</v>
      </c>
      <c r="B96" s="18" t="s">
        <v>181</v>
      </c>
      <c r="C96" s="18" t="s">
        <v>7</v>
      </c>
      <c r="D96" s="5" t="s">
        <v>22</v>
      </c>
      <c r="E96" s="19">
        <v>0</v>
      </c>
      <c r="F96" s="19">
        <v>0</v>
      </c>
      <c r="G96" s="19">
        <v>0</v>
      </c>
      <c r="H96" s="19">
        <v>0</v>
      </c>
      <c r="I96" s="19">
        <v>1</v>
      </c>
      <c r="J96" s="19">
        <v>0</v>
      </c>
      <c r="K96" s="19">
        <f t="shared" si="3"/>
        <v>1</v>
      </c>
      <c r="L96" s="19">
        <v>1</v>
      </c>
      <c r="M96" s="19">
        <f t="shared" si="4"/>
        <v>0</v>
      </c>
      <c r="N96" s="19">
        <v>1</v>
      </c>
      <c r="O96" s="19">
        <f t="shared" si="5"/>
        <v>0</v>
      </c>
      <c r="P96" s="19">
        <v>1</v>
      </c>
      <c r="Q96" s="19">
        <v>0</v>
      </c>
      <c r="R96" s="19">
        <v>0</v>
      </c>
      <c r="S96" s="19">
        <v>0</v>
      </c>
      <c r="T96" s="19">
        <v>0</v>
      </c>
      <c r="U96" t="s">
        <v>182</v>
      </c>
      <c r="V96" s="19">
        <v>97</v>
      </c>
      <c r="W96" s="20">
        <v>7.3570546726766606E-2</v>
      </c>
      <c r="X96" s="8"/>
    </row>
    <row r="97" spans="1:24" x14ac:dyDescent="0.25">
      <c r="A97" s="23" t="s">
        <v>1039</v>
      </c>
      <c r="B97" s="18" t="s">
        <v>183</v>
      </c>
      <c r="C97" s="18" t="s">
        <v>7</v>
      </c>
      <c r="D97" s="5" t="s">
        <v>22</v>
      </c>
      <c r="E97" s="19">
        <v>0</v>
      </c>
      <c r="F97" s="19">
        <v>0</v>
      </c>
      <c r="G97" s="19">
        <v>0</v>
      </c>
      <c r="H97" s="19">
        <v>0</v>
      </c>
      <c r="I97" s="19">
        <v>1</v>
      </c>
      <c r="J97" s="19">
        <v>0</v>
      </c>
      <c r="K97" s="19">
        <f t="shared" si="3"/>
        <v>1</v>
      </c>
      <c r="L97" s="19">
        <v>1</v>
      </c>
      <c r="M97" s="19">
        <f t="shared" si="4"/>
        <v>0</v>
      </c>
      <c r="N97" s="19">
        <v>1</v>
      </c>
      <c r="O97" s="19">
        <f t="shared" si="5"/>
        <v>0</v>
      </c>
      <c r="P97" s="19">
        <v>1</v>
      </c>
      <c r="Q97" s="19">
        <v>0</v>
      </c>
      <c r="R97" s="19">
        <v>0</v>
      </c>
      <c r="S97" s="19">
        <v>0</v>
      </c>
      <c r="T97" s="19">
        <v>0</v>
      </c>
      <c r="U97" t="s">
        <v>184</v>
      </c>
      <c r="V97" s="19">
        <v>98</v>
      </c>
      <c r="W97" s="20">
        <v>6.2554214159131399E-2</v>
      </c>
      <c r="X97" s="8"/>
    </row>
    <row r="98" spans="1:24" x14ac:dyDescent="0.25">
      <c r="A98" s="23" t="s">
        <v>1040</v>
      </c>
      <c r="B98" s="18" t="s">
        <v>185</v>
      </c>
      <c r="C98" s="18" t="s">
        <v>7</v>
      </c>
      <c r="D98" s="5" t="s">
        <v>22</v>
      </c>
      <c r="E98" s="19">
        <v>0</v>
      </c>
      <c r="F98" s="19">
        <v>0</v>
      </c>
      <c r="G98" s="19">
        <v>0</v>
      </c>
      <c r="H98" s="19">
        <v>0</v>
      </c>
      <c r="I98" s="19">
        <v>1</v>
      </c>
      <c r="J98" s="19">
        <v>0</v>
      </c>
      <c r="K98" s="19">
        <f t="shared" si="3"/>
        <v>1</v>
      </c>
      <c r="L98" s="19">
        <v>1</v>
      </c>
      <c r="M98" s="19">
        <f t="shared" si="4"/>
        <v>0</v>
      </c>
      <c r="N98" s="19">
        <v>1</v>
      </c>
      <c r="O98" s="19">
        <f t="shared" si="5"/>
        <v>0</v>
      </c>
      <c r="P98" s="19">
        <v>1</v>
      </c>
      <c r="Q98" s="19">
        <v>0</v>
      </c>
      <c r="R98" s="19">
        <v>0</v>
      </c>
      <c r="S98" s="19">
        <v>0</v>
      </c>
      <c r="T98" s="19">
        <v>0</v>
      </c>
      <c r="U98" t="s">
        <v>186</v>
      </c>
      <c r="V98" s="19">
        <v>99</v>
      </c>
      <c r="W98" s="20">
        <v>9.4719724237025099E-2</v>
      </c>
      <c r="X98" s="8"/>
    </row>
    <row r="99" spans="1:24" x14ac:dyDescent="0.25">
      <c r="A99" s="23" t="s">
        <v>1041</v>
      </c>
      <c r="B99" s="18" t="s">
        <v>187</v>
      </c>
      <c r="C99" s="18" t="s">
        <v>7</v>
      </c>
      <c r="D99" s="5" t="s">
        <v>22</v>
      </c>
      <c r="E99" s="19">
        <v>0</v>
      </c>
      <c r="F99" s="19">
        <v>0</v>
      </c>
      <c r="G99" s="19">
        <v>0</v>
      </c>
      <c r="H99" s="19">
        <v>0</v>
      </c>
      <c r="I99" s="19">
        <v>1</v>
      </c>
      <c r="J99" s="19">
        <v>1</v>
      </c>
      <c r="K99" s="19">
        <f t="shared" si="3"/>
        <v>0</v>
      </c>
      <c r="L99" s="19">
        <v>1</v>
      </c>
      <c r="M99" s="19">
        <f t="shared" si="4"/>
        <v>0</v>
      </c>
      <c r="N99" s="19">
        <v>1</v>
      </c>
      <c r="O99" s="19">
        <f t="shared" si="5"/>
        <v>0</v>
      </c>
      <c r="P99" s="19">
        <v>1</v>
      </c>
      <c r="Q99" s="19">
        <v>0</v>
      </c>
      <c r="R99" s="19">
        <v>0</v>
      </c>
      <c r="S99" s="19">
        <v>0</v>
      </c>
      <c r="T99" s="19">
        <v>0</v>
      </c>
      <c r="U99" t="s">
        <v>188</v>
      </c>
      <c r="V99" s="19">
        <v>100</v>
      </c>
      <c r="W99" s="20">
        <v>8.7658117419554996E-2</v>
      </c>
      <c r="X99" s="8"/>
    </row>
    <row r="100" spans="1:24" x14ac:dyDescent="0.25">
      <c r="A100" s="23" t="s">
        <v>1042</v>
      </c>
      <c r="B100" s="18" t="s">
        <v>189</v>
      </c>
      <c r="C100" s="18" t="s">
        <v>7</v>
      </c>
      <c r="D100" s="5" t="s">
        <v>22</v>
      </c>
      <c r="E100" s="19">
        <v>0</v>
      </c>
      <c r="F100" s="19">
        <v>0</v>
      </c>
      <c r="G100" s="19">
        <v>0</v>
      </c>
      <c r="H100" s="19">
        <v>0</v>
      </c>
      <c r="I100" s="19">
        <v>1</v>
      </c>
      <c r="J100" s="19">
        <v>0</v>
      </c>
      <c r="K100" s="19">
        <f t="shared" si="3"/>
        <v>1</v>
      </c>
      <c r="L100" s="19">
        <v>1</v>
      </c>
      <c r="M100" s="19">
        <f t="shared" si="4"/>
        <v>0</v>
      </c>
      <c r="N100" s="19">
        <v>1</v>
      </c>
      <c r="O100" s="19">
        <f t="shared" si="5"/>
        <v>0</v>
      </c>
      <c r="P100" s="19">
        <v>1</v>
      </c>
      <c r="Q100" s="19">
        <v>0</v>
      </c>
      <c r="R100" s="19">
        <v>0</v>
      </c>
      <c r="S100" s="19">
        <v>0</v>
      </c>
      <c r="T100" s="19">
        <v>0</v>
      </c>
      <c r="U100" t="s">
        <v>190</v>
      </c>
      <c r="V100" s="19">
        <v>101</v>
      </c>
      <c r="W100" s="20">
        <v>5.2979396341772199E-2</v>
      </c>
      <c r="X100" s="8"/>
    </row>
    <row r="101" spans="1:24" x14ac:dyDescent="0.25">
      <c r="A101" s="23" t="s">
        <v>1043</v>
      </c>
      <c r="B101" s="18" t="s">
        <v>191</v>
      </c>
      <c r="C101" s="18" t="s">
        <v>7</v>
      </c>
      <c r="D101" s="5" t="s">
        <v>22</v>
      </c>
      <c r="E101" s="19">
        <v>0</v>
      </c>
      <c r="F101" s="19">
        <v>0</v>
      </c>
      <c r="G101" s="19">
        <v>0</v>
      </c>
      <c r="H101" s="19">
        <v>0</v>
      </c>
      <c r="I101" s="19">
        <v>1</v>
      </c>
      <c r="J101" s="19">
        <v>1</v>
      </c>
      <c r="K101" s="19">
        <f t="shared" si="3"/>
        <v>0</v>
      </c>
      <c r="L101" s="19">
        <v>1</v>
      </c>
      <c r="M101" s="19">
        <f t="shared" si="4"/>
        <v>0</v>
      </c>
      <c r="N101" s="19">
        <v>1</v>
      </c>
      <c r="O101" s="19">
        <f t="shared" si="5"/>
        <v>0</v>
      </c>
      <c r="P101" s="19">
        <v>1</v>
      </c>
      <c r="Q101" s="19">
        <v>0</v>
      </c>
      <c r="R101" s="19">
        <v>0</v>
      </c>
      <c r="S101" s="19">
        <v>0</v>
      </c>
      <c r="T101" s="19">
        <v>1</v>
      </c>
      <c r="U101" t="s">
        <v>192</v>
      </c>
      <c r="V101" s="19">
        <v>102</v>
      </c>
      <c r="W101" s="20">
        <v>3.9326713114670099E-2</v>
      </c>
      <c r="X101" s="8"/>
    </row>
    <row r="102" spans="1:24" x14ac:dyDescent="0.25">
      <c r="A102" s="23" t="s">
        <v>1044</v>
      </c>
      <c r="B102" s="15" t="s">
        <v>193</v>
      </c>
      <c r="C102" s="15" t="s">
        <v>25</v>
      </c>
      <c r="D102" s="5" t="s">
        <v>22</v>
      </c>
      <c r="E102" s="16">
        <v>0</v>
      </c>
      <c r="F102" s="16">
        <v>0</v>
      </c>
      <c r="G102" s="16">
        <v>0</v>
      </c>
      <c r="H102" s="16">
        <v>1</v>
      </c>
      <c r="I102" s="16">
        <v>0</v>
      </c>
      <c r="J102" s="16">
        <v>0</v>
      </c>
      <c r="K102" s="16">
        <f t="shared" si="3"/>
        <v>0</v>
      </c>
      <c r="L102" s="16">
        <v>0</v>
      </c>
      <c r="M102" s="16">
        <f t="shared" si="4"/>
        <v>0</v>
      </c>
      <c r="N102" s="16">
        <v>0</v>
      </c>
      <c r="O102" s="16">
        <f t="shared" si="5"/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/>
      <c r="V102" s="16">
        <v>103</v>
      </c>
      <c r="W102" s="17">
        <v>8.1225896621763799E-2</v>
      </c>
      <c r="X102" s="8"/>
    </row>
    <row r="103" spans="1:24" x14ac:dyDescent="0.25">
      <c r="A103" s="23" t="s">
        <v>1045</v>
      </c>
      <c r="B103" s="18" t="s">
        <v>194</v>
      </c>
      <c r="C103" s="18" t="s">
        <v>7</v>
      </c>
      <c r="D103" s="5" t="s">
        <v>22</v>
      </c>
      <c r="E103" s="19">
        <v>0</v>
      </c>
      <c r="F103" s="19">
        <v>0</v>
      </c>
      <c r="G103" s="19">
        <v>0</v>
      </c>
      <c r="H103" s="19">
        <v>0</v>
      </c>
      <c r="I103" s="19">
        <v>1</v>
      </c>
      <c r="J103" s="19">
        <v>0</v>
      </c>
      <c r="K103" s="19">
        <f t="shared" si="3"/>
        <v>1</v>
      </c>
      <c r="L103" s="19">
        <v>1</v>
      </c>
      <c r="M103" s="19">
        <f t="shared" si="4"/>
        <v>0</v>
      </c>
      <c r="N103" s="19">
        <v>1</v>
      </c>
      <c r="O103" s="19">
        <f t="shared" si="5"/>
        <v>0</v>
      </c>
      <c r="P103" s="19">
        <v>1</v>
      </c>
      <c r="Q103" s="19">
        <v>0</v>
      </c>
      <c r="R103" s="19">
        <v>0</v>
      </c>
      <c r="S103" s="19">
        <v>0</v>
      </c>
      <c r="T103" s="19">
        <v>0</v>
      </c>
      <c r="U103" t="s">
        <v>195</v>
      </c>
      <c r="V103" s="19">
        <v>104</v>
      </c>
      <c r="W103" s="20">
        <v>8.1225896621763799E-2</v>
      </c>
      <c r="X103" s="8"/>
    </row>
    <row r="104" spans="1:24" x14ac:dyDescent="0.25">
      <c r="A104" s="23" t="s">
        <v>1046</v>
      </c>
      <c r="B104" s="12" t="s">
        <v>196</v>
      </c>
      <c r="C104" s="12" t="s">
        <v>5</v>
      </c>
      <c r="D104" s="5" t="s">
        <v>22</v>
      </c>
      <c r="E104" s="13">
        <v>0</v>
      </c>
      <c r="F104" s="13">
        <v>0</v>
      </c>
      <c r="G104" s="13">
        <v>1</v>
      </c>
      <c r="H104" s="13">
        <v>0</v>
      </c>
      <c r="I104" s="13">
        <v>0</v>
      </c>
      <c r="J104" s="13">
        <v>0</v>
      </c>
      <c r="K104" s="13">
        <f t="shared" si="3"/>
        <v>0</v>
      </c>
      <c r="L104" s="13">
        <v>0</v>
      </c>
      <c r="M104" s="13">
        <f t="shared" si="4"/>
        <v>0</v>
      </c>
      <c r="N104" s="13">
        <v>0</v>
      </c>
      <c r="O104" s="13">
        <f t="shared" si="5"/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/>
      <c r="V104" s="13">
        <v>105</v>
      </c>
      <c r="W104" s="14">
        <v>3.4200757714525309</v>
      </c>
      <c r="X104" s="8"/>
    </row>
    <row r="105" spans="1:24" x14ac:dyDescent="0.25">
      <c r="A105" s="23" t="s">
        <v>1047</v>
      </c>
      <c r="B105" s="15" t="s">
        <v>197</v>
      </c>
      <c r="C105" s="15" t="s">
        <v>25</v>
      </c>
      <c r="D105" s="5" t="s">
        <v>22</v>
      </c>
      <c r="E105" s="16">
        <v>0</v>
      </c>
      <c r="F105" s="16">
        <v>0</v>
      </c>
      <c r="G105" s="16">
        <v>0</v>
      </c>
      <c r="H105" s="16">
        <v>1</v>
      </c>
      <c r="I105" s="16">
        <v>0</v>
      </c>
      <c r="J105" s="16">
        <v>0</v>
      </c>
      <c r="K105" s="16">
        <f t="shared" si="3"/>
        <v>0</v>
      </c>
      <c r="L105" s="16">
        <v>0</v>
      </c>
      <c r="M105" s="16">
        <f t="shared" si="4"/>
        <v>0</v>
      </c>
      <c r="N105" s="16">
        <v>0</v>
      </c>
      <c r="O105" s="16">
        <f t="shared" si="5"/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/>
      <c r="V105" s="16">
        <v>106</v>
      </c>
      <c r="W105" s="17">
        <v>0.67050691808971907</v>
      </c>
      <c r="X105" s="8"/>
    </row>
    <row r="106" spans="1:24" x14ac:dyDescent="0.25">
      <c r="A106" s="23" t="s">
        <v>1048</v>
      </c>
      <c r="B106" s="18" t="s">
        <v>198</v>
      </c>
      <c r="C106" s="18" t="s">
        <v>7</v>
      </c>
      <c r="D106" s="5" t="s">
        <v>22</v>
      </c>
      <c r="E106" s="19">
        <v>0</v>
      </c>
      <c r="F106" s="19">
        <v>0</v>
      </c>
      <c r="G106" s="19">
        <v>0</v>
      </c>
      <c r="H106" s="19">
        <v>0</v>
      </c>
      <c r="I106" s="19">
        <v>1</v>
      </c>
      <c r="J106" s="19">
        <v>0</v>
      </c>
      <c r="K106" s="19">
        <f t="shared" si="3"/>
        <v>1</v>
      </c>
      <c r="L106" s="19">
        <v>0</v>
      </c>
      <c r="M106" s="19">
        <f t="shared" si="4"/>
        <v>1</v>
      </c>
      <c r="N106" s="19">
        <v>1</v>
      </c>
      <c r="O106" s="19">
        <f t="shared" si="5"/>
        <v>0</v>
      </c>
      <c r="P106" s="19">
        <v>1</v>
      </c>
      <c r="Q106" s="19">
        <v>0</v>
      </c>
      <c r="R106" s="19">
        <v>0</v>
      </c>
      <c r="S106" s="19">
        <v>0</v>
      </c>
      <c r="T106" s="19">
        <v>0</v>
      </c>
      <c r="U106" t="s">
        <v>199</v>
      </c>
      <c r="V106" s="19">
        <v>107</v>
      </c>
      <c r="W106" s="20">
        <v>0.34672600463075498</v>
      </c>
      <c r="X106" s="8"/>
    </row>
    <row r="107" spans="1:24" x14ac:dyDescent="0.25">
      <c r="A107" s="23" t="s">
        <v>1049</v>
      </c>
      <c r="B107" s="18" t="s">
        <v>200</v>
      </c>
      <c r="C107" s="18" t="s">
        <v>7</v>
      </c>
      <c r="D107" s="5" t="s">
        <v>22</v>
      </c>
      <c r="E107" s="19">
        <v>0</v>
      </c>
      <c r="F107" s="19">
        <v>0</v>
      </c>
      <c r="G107" s="19">
        <v>0</v>
      </c>
      <c r="H107" s="19">
        <v>0</v>
      </c>
      <c r="I107" s="19">
        <v>1</v>
      </c>
      <c r="J107" s="19">
        <v>0</v>
      </c>
      <c r="K107" s="19">
        <f t="shared" si="3"/>
        <v>1</v>
      </c>
      <c r="L107" s="19">
        <v>0</v>
      </c>
      <c r="M107" s="19">
        <f t="shared" si="4"/>
        <v>1</v>
      </c>
      <c r="N107" s="19">
        <v>1</v>
      </c>
      <c r="O107" s="19">
        <f t="shared" si="5"/>
        <v>0</v>
      </c>
      <c r="P107" s="19">
        <v>1</v>
      </c>
      <c r="Q107" s="19">
        <v>0</v>
      </c>
      <c r="R107" s="19">
        <v>0</v>
      </c>
      <c r="S107" s="19">
        <v>0</v>
      </c>
      <c r="T107" s="19">
        <v>0</v>
      </c>
      <c r="U107" t="s">
        <v>201</v>
      </c>
      <c r="V107" s="19">
        <v>108</v>
      </c>
      <c r="W107" s="20">
        <v>0.12666942471988099</v>
      </c>
      <c r="X107" s="8"/>
    </row>
    <row r="108" spans="1:24" x14ac:dyDescent="0.25">
      <c r="A108" s="23" t="s">
        <v>1050</v>
      </c>
      <c r="B108" s="18" t="s">
        <v>202</v>
      </c>
      <c r="C108" s="18" t="s">
        <v>7</v>
      </c>
      <c r="D108" s="5" t="s">
        <v>22</v>
      </c>
      <c r="E108" s="19">
        <v>0</v>
      </c>
      <c r="F108" s="19">
        <v>0</v>
      </c>
      <c r="G108" s="19">
        <v>0</v>
      </c>
      <c r="H108" s="19">
        <v>0</v>
      </c>
      <c r="I108" s="19">
        <v>1</v>
      </c>
      <c r="J108" s="19">
        <v>0</v>
      </c>
      <c r="K108" s="19">
        <f t="shared" si="3"/>
        <v>1</v>
      </c>
      <c r="L108" s="19">
        <v>1</v>
      </c>
      <c r="M108" s="19">
        <f t="shared" si="4"/>
        <v>0</v>
      </c>
      <c r="N108" s="19">
        <v>1</v>
      </c>
      <c r="O108" s="19">
        <f t="shared" si="5"/>
        <v>0</v>
      </c>
      <c r="P108" s="19">
        <v>1</v>
      </c>
      <c r="Q108" s="19">
        <v>0</v>
      </c>
      <c r="R108" s="19">
        <v>0</v>
      </c>
      <c r="S108" s="19">
        <v>0</v>
      </c>
      <c r="T108" s="19">
        <v>0</v>
      </c>
      <c r="U108" t="s">
        <v>203</v>
      </c>
      <c r="V108" s="19">
        <v>109</v>
      </c>
      <c r="W108" s="20">
        <v>0.14597316447894401</v>
      </c>
      <c r="X108" s="8"/>
    </row>
    <row r="109" spans="1:24" x14ac:dyDescent="0.25">
      <c r="A109" s="23" t="s">
        <v>1051</v>
      </c>
      <c r="B109" s="18" t="s">
        <v>204</v>
      </c>
      <c r="C109" s="18" t="s">
        <v>7</v>
      </c>
      <c r="D109" s="5" t="s">
        <v>22</v>
      </c>
      <c r="E109" s="19">
        <v>0</v>
      </c>
      <c r="F109" s="19">
        <v>0</v>
      </c>
      <c r="G109" s="19">
        <v>0</v>
      </c>
      <c r="H109" s="19">
        <v>0</v>
      </c>
      <c r="I109" s="19">
        <v>1</v>
      </c>
      <c r="J109" s="19">
        <v>0</v>
      </c>
      <c r="K109" s="19">
        <f t="shared" si="3"/>
        <v>1</v>
      </c>
      <c r="L109" s="19">
        <v>0</v>
      </c>
      <c r="M109" s="19">
        <f t="shared" si="4"/>
        <v>1</v>
      </c>
      <c r="N109" s="19">
        <v>1</v>
      </c>
      <c r="O109" s="19">
        <f t="shared" si="5"/>
        <v>0</v>
      </c>
      <c r="P109" s="19">
        <v>1</v>
      </c>
      <c r="Q109" s="19">
        <v>0</v>
      </c>
      <c r="R109" s="19">
        <v>0</v>
      </c>
      <c r="S109" s="19">
        <v>0</v>
      </c>
      <c r="T109" s="19">
        <v>0</v>
      </c>
      <c r="U109" t="s">
        <v>205</v>
      </c>
      <c r="V109" s="19">
        <v>110</v>
      </c>
      <c r="W109" s="20">
        <v>5.1138324260139097E-2</v>
      </c>
      <c r="X109" s="8"/>
    </row>
    <row r="110" spans="1:24" x14ac:dyDescent="0.25">
      <c r="A110" s="23" t="s">
        <v>1052</v>
      </c>
      <c r="B110" s="15" t="s">
        <v>206</v>
      </c>
      <c r="C110" s="15" t="s">
        <v>25</v>
      </c>
      <c r="D110" s="5" t="s">
        <v>22</v>
      </c>
      <c r="E110" s="16">
        <v>0</v>
      </c>
      <c r="F110" s="16">
        <v>0</v>
      </c>
      <c r="G110" s="16">
        <v>0</v>
      </c>
      <c r="H110" s="16">
        <v>1</v>
      </c>
      <c r="I110" s="16">
        <v>0</v>
      </c>
      <c r="J110" s="16">
        <v>0</v>
      </c>
      <c r="K110" s="16">
        <f t="shared" si="3"/>
        <v>0</v>
      </c>
      <c r="L110" s="16">
        <v>0</v>
      </c>
      <c r="M110" s="16">
        <f t="shared" si="4"/>
        <v>0</v>
      </c>
      <c r="N110" s="16">
        <v>0</v>
      </c>
      <c r="O110" s="16">
        <f t="shared" si="5"/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/>
      <c r="V110" s="16">
        <v>111</v>
      </c>
      <c r="W110" s="17">
        <v>0.83392449287243087</v>
      </c>
      <c r="X110" s="8"/>
    </row>
    <row r="111" spans="1:24" x14ac:dyDescent="0.25">
      <c r="A111" s="23" t="s">
        <v>1053</v>
      </c>
      <c r="B111" s="18" t="s">
        <v>207</v>
      </c>
      <c r="C111" s="18" t="s">
        <v>7</v>
      </c>
      <c r="D111" s="5" t="s">
        <v>22</v>
      </c>
      <c r="E111" s="19">
        <v>0</v>
      </c>
      <c r="F111" s="19">
        <v>0</v>
      </c>
      <c r="G111" s="19">
        <v>0</v>
      </c>
      <c r="H111" s="19">
        <v>0</v>
      </c>
      <c r="I111" s="19">
        <v>1</v>
      </c>
      <c r="J111" s="19">
        <v>0</v>
      </c>
      <c r="K111" s="19">
        <f t="shared" si="3"/>
        <v>1</v>
      </c>
      <c r="L111" s="19">
        <v>1</v>
      </c>
      <c r="M111" s="19">
        <f t="shared" si="4"/>
        <v>0</v>
      </c>
      <c r="N111" s="19">
        <v>1</v>
      </c>
      <c r="O111" s="19">
        <f t="shared" si="5"/>
        <v>0</v>
      </c>
      <c r="P111" s="19">
        <v>1</v>
      </c>
      <c r="Q111" s="19">
        <v>0</v>
      </c>
      <c r="R111" s="19">
        <v>0</v>
      </c>
      <c r="S111" s="19">
        <v>0</v>
      </c>
      <c r="T111" s="19">
        <v>0</v>
      </c>
      <c r="U111" t="s">
        <v>208</v>
      </c>
      <c r="V111" s="19">
        <v>112</v>
      </c>
      <c r="W111" s="20">
        <v>0.34514408392465201</v>
      </c>
      <c r="X111" s="8"/>
    </row>
    <row r="112" spans="1:24" x14ac:dyDescent="0.25">
      <c r="A112" s="23" t="s">
        <v>1054</v>
      </c>
      <c r="B112" s="18" t="s">
        <v>209</v>
      </c>
      <c r="C112" s="18" t="s">
        <v>7</v>
      </c>
      <c r="D112" s="5" t="s">
        <v>22</v>
      </c>
      <c r="E112" s="19">
        <v>0</v>
      </c>
      <c r="F112" s="19">
        <v>0</v>
      </c>
      <c r="G112" s="19">
        <v>0</v>
      </c>
      <c r="H112" s="19">
        <v>0</v>
      </c>
      <c r="I112" s="19">
        <v>1</v>
      </c>
      <c r="J112" s="19">
        <v>0</v>
      </c>
      <c r="K112" s="19">
        <f t="shared" si="3"/>
        <v>1</v>
      </c>
      <c r="L112" s="19">
        <v>1</v>
      </c>
      <c r="M112" s="19">
        <f t="shared" si="4"/>
        <v>0</v>
      </c>
      <c r="N112" s="19">
        <v>1</v>
      </c>
      <c r="O112" s="19">
        <f t="shared" si="5"/>
        <v>0</v>
      </c>
      <c r="P112" s="19">
        <v>1</v>
      </c>
      <c r="Q112" s="19">
        <v>0</v>
      </c>
      <c r="R112" s="19">
        <v>0</v>
      </c>
      <c r="S112" s="19">
        <v>0</v>
      </c>
      <c r="T112" s="19">
        <v>0</v>
      </c>
      <c r="U112" t="s">
        <v>210</v>
      </c>
      <c r="V112" s="19">
        <v>113</v>
      </c>
      <c r="W112" s="20">
        <v>0.23831496853822801</v>
      </c>
      <c r="X112" s="8"/>
    </row>
    <row r="113" spans="1:24" x14ac:dyDescent="0.25">
      <c r="A113" s="23" t="s">
        <v>1055</v>
      </c>
      <c r="B113" s="18" t="s">
        <v>211</v>
      </c>
      <c r="C113" s="18" t="s">
        <v>7</v>
      </c>
      <c r="D113" s="5" t="s">
        <v>22</v>
      </c>
      <c r="E113" s="19">
        <v>0</v>
      </c>
      <c r="F113" s="19">
        <v>0</v>
      </c>
      <c r="G113" s="19">
        <v>0</v>
      </c>
      <c r="H113" s="19">
        <v>0</v>
      </c>
      <c r="I113" s="19">
        <v>1</v>
      </c>
      <c r="J113" s="19">
        <v>0</v>
      </c>
      <c r="K113" s="19">
        <f t="shared" si="3"/>
        <v>1</v>
      </c>
      <c r="L113" s="19">
        <v>1</v>
      </c>
      <c r="M113" s="19">
        <f t="shared" si="4"/>
        <v>0</v>
      </c>
      <c r="N113" s="19">
        <v>1</v>
      </c>
      <c r="O113" s="19">
        <f t="shared" si="5"/>
        <v>0</v>
      </c>
      <c r="P113" s="19">
        <v>1</v>
      </c>
      <c r="Q113" s="19">
        <v>0</v>
      </c>
      <c r="R113" s="19">
        <v>0</v>
      </c>
      <c r="S113" s="19">
        <v>0</v>
      </c>
      <c r="T113" s="19">
        <v>0</v>
      </c>
      <c r="U113" t="s">
        <v>212</v>
      </c>
      <c r="V113" s="19">
        <v>114</v>
      </c>
      <c r="W113" s="20">
        <v>8.8326564155907297E-2</v>
      </c>
      <c r="X113" s="8"/>
    </row>
    <row r="114" spans="1:24" x14ac:dyDescent="0.25">
      <c r="A114" s="23" t="s">
        <v>1056</v>
      </c>
      <c r="B114" s="18" t="s">
        <v>213</v>
      </c>
      <c r="C114" s="18" t="s">
        <v>7</v>
      </c>
      <c r="D114" s="5" t="s">
        <v>22</v>
      </c>
      <c r="E114" s="19">
        <v>0</v>
      </c>
      <c r="F114" s="19">
        <v>0</v>
      </c>
      <c r="G114" s="19">
        <v>0</v>
      </c>
      <c r="H114" s="19">
        <v>0</v>
      </c>
      <c r="I114" s="19">
        <v>1</v>
      </c>
      <c r="J114" s="19">
        <v>0</v>
      </c>
      <c r="K114" s="19">
        <f t="shared" si="3"/>
        <v>1</v>
      </c>
      <c r="L114" s="19">
        <v>1</v>
      </c>
      <c r="M114" s="19">
        <f t="shared" si="4"/>
        <v>0</v>
      </c>
      <c r="N114" s="19">
        <v>1</v>
      </c>
      <c r="O114" s="19">
        <f t="shared" si="5"/>
        <v>0</v>
      </c>
      <c r="P114" s="19">
        <v>1</v>
      </c>
      <c r="Q114" s="19">
        <v>0</v>
      </c>
      <c r="R114" s="19">
        <v>0</v>
      </c>
      <c r="S114" s="19">
        <v>0</v>
      </c>
      <c r="T114" s="19">
        <v>0</v>
      </c>
      <c r="U114" t="s">
        <v>214</v>
      </c>
      <c r="V114" s="19">
        <v>115</v>
      </c>
      <c r="W114" s="20">
        <v>8.9533376505175302E-2</v>
      </c>
      <c r="X114" s="8"/>
    </row>
    <row r="115" spans="1:24" x14ac:dyDescent="0.25">
      <c r="A115" s="23" t="s">
        <v>1057</v>
      </c>
      <c r="B115" s="18" t="s">
        <v>215</v>
      </c>
      <c r="C115" s="18" t="s">
        <v>7</v>
      </c>
      <c r="D115" s="5" t="s">
        <v>22</v>
      </c>
      <c r="E115" s="19">
        <v>0</v>
      </c>
      <c r="F115" s="19">
        <v>0</v>
      </c>
      <c r="G115" s="19">
        <v>0</v>
      </c>
      <c r="H115" s="19">
        <v>0</v>
      </c>
      <c r="I115" s="19">
        <v>1</v>
      </c>
      <c r="J115" s="19">
        <v>0</v>
      </c>
      <c r="K115" s="19">
        <f t="shared" si="3"/>
        <v>1</v>
      </c>
      <c r="L115" s="19">
        <v>1</v>
      </c>
      <c r="M115" s="19">
        <f t="shared" si="4"/>
        <v>0</v>
      </c>
      <c r="N115" s="19">
        <v>1</v>
      </c>
      <c r="O115" s="19">
        <f t="shared" si="5"/>
        <v>0</v>
      </c>
      <c r="P115" s="19">
        <v>1</v>
      </c>
      <c r="Q115" s="19">
        <v>0</v>
      </c>
      <c r="R115" s="19">
        <v>0</v>
      </c>
      <c r="S115" s="19">
        <v>0</v>
      </c>
      <c r="T115" s="19">
        <v>0</v>
      </c>
      <c r="U115" t="s">
        <v>216</v>
      </c>
      <c r="V115" s="19">
        <v>116</v>
      </c>
      <c r="W115" s="20">
        <v>7.2605499748468194E-2</v>
      </c>
      <c r="X115" s="8"/>
    </row>
    <row r="116" spans="1:24" x14ac:dyDescent="0.25">
      <c r="A116" s="23" t="s">
        <v>1058</v>
      </c>
      <c r="B116" s="15" t="s">
        <v>217</v>
      </c>
      <c r="C116" s="15" t="s">
        <v>25</v>
      </c>
      <c r="D116" s="5" t="s">
        <v>22</v>
      </c>
      <c r="E116" s="16">
        <v>0</v>
      </c>
      <c r="F116" s="16">
        <v>0</v>
      </c>
      <c r="G116" s="16">
        <v>0</v>
      </c>
      <c r="H116" s="16">
        <v>1</v>
      </c>
      <c r="I116" s="16">
        <v>0</v>
      </c>
      <c r="J116" s="16">
        <v>0</v>
      </c>
      <c r="K116" s="16">
        <f t="shared" si="3"/>
        <v>0</v>
      </c>
      <c r="L116" s="16">
        <v>0</v>
      </c>
      <c r="M116" s="16">
        <f t="shared" si="4"/>
        <v>0</v>
      </c>
      <c r="N116" s="16">
        <v>0</v>
      </c>
      <c r="O116" s="16">
        <f t="shared" si="5"/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/>
      <c r="V116" s="16">
        <v>117</v>
      </c>
      <c r="W116" s="17">
        <v>1.5659868629455271</v>
      </c>
      <c r="X116" s="8"/>
    </row>
    <row r="117" spans="1:24" x14ac:dyDescent="0.25">
      <c r="A117" s="23" t="s">
        <v>1059</v>
      </c>
      <c r="B117" s="18" t="s">
        <v>218</v>
      </c>
      <c r="C117" s="18" t="s">
        <v>7</v>
      </c>
      <c r="D117" s="5" t="s">
        <v>22</v>
      </c>
      <c r="E117" s="19">
        <v>0</v>
      </c>
      <c r="F117" s="19">
        <v>0</v>
      </c>
      <c r="G117" s="19">
        <v>0</v>
      </c>
      <c r="H117" s="19">
        <v>0</v>
      </c>
      <c r="I117" s="19">
        <v>1</v>
      </c>
      <c r="J117" s="19">
        <v>0</v>
      </c>
      <c r="K117" s="19">
        <f t="shared" si="3"/>
        <v>1</v>
      </c>
      <c r="L117" s="19">
        <v>0</v>
      </c>
      <c r="M117" s="19">
        <f t="shared" si="4"/>
        <v>1</v>
      </c>
      <c r="N117" s="19">
        <v>1</v>
      </c>
      <c r="O117" s="19">
        <f t="shared" si="5"/>
        <v>0</v>
      </c>
      <c r="P117" s="19">
        <v>1</v>
      </c>
      <c r="Q117" s="19">
        <v>0</v>
      </c>
      <c r="R117" s="19">
        <v>0</v>
      </c>
      <c r="S117" s="19">
        <v>0</v>
      </c>
      <c r="T117" s="19">
        <v>0</v>
      </c>
      <c r="U117" t="s">
        <v>219</v>
      </c>
      <c r="V117" s="19">
        <v>118</v>
      </c>
      <c r="W117" s="20">
        <v>0.39736131162272897</v>
      </c>
      <c r="X117" s="8"/>
    </row>
    <row r="118" spans="1:24" x14ac:dyDescent="0.25">
      <c r="A118" s="23" t="s">
        <v>1060</v>
      </c>
      <c r="B118" s="18" t="s">
        <v>220</v>
      </c>
      <c r="C118" s="18" t="s">
        <v>7</v>
      </c>
      <c r="D118" s="5" t="s">
        <v>22</v>
      </c>
      <c r="E118" s="19">
        <v>0</v>
      </c>
      <c r="F118" s="19">
        <v>0</v>
      </c>
      <c r="G118" s="19">
        <v>0</v>
      </c>
      <c r="H118" s="19">
        <v>0</v>
      </c>
      <c r="I118" s="19">
        <v>1</v>
      </c>
      <c r="J118" s="19">
        <v>0</v>
      </c>
      <c r="K118" s="19">
        <f t="shared" si="3"/>
        <v>1</v>
      </c>
      <c r="L118" s="19">
        <v>0</v>
      </c>
      <c r="M118" s="19">
        <f t="shared" si="4"/>
        <v>1</v>
      </c>
      <c r="N118" s="19">
        <v>1</v>
      </c>
      <c r="O118" s="19">
        <f t="shared" si="5"/>
        <v>0</v>
      </c>
      <c r="P118" s="19">
        <v>1</v>
      </c>
      <c r="Q118" s="19">
        <v>0</v>
      </c>
      <c r="R118" s="19">
        <v>0</v>
      </c>
      <c r="S118" s="19">
        <v>0</v>
      </c>
      <c r="T118" s="19">
        <v>0</v>
      </c>
      <c r="U118" t="s">
        <v>221</v>
      </c>
      <c r="V118" s="19">
        <v>119</v>
      </c>
      <c r="W118" s="20">
        <v>0.31935683496759798</v>
      </c>
      <c r="X118" s="8"/>
    </row>
    <row r="119" spans="1:24" x14ac:dyDescent="0.25">
      <c r="A119" s="23" t="s">
        <v>1061</v>
      </c>
      <c r="B119" s="18" t="s">
        <v>222</v>
      </c>
      <c r="C119" s="18" t="s">
        <v>7</v>
      </c>
      <c r="D119" s="5" t="s">
        <v>22</v>
      </c>
      <c r="E119" s="19">
        <v>0</v>
      </c>
      <c r="F119" s="19">
        <v>0</v>
      </c>
      <c r="G119" s="19">
        <v>0</v>
      </c>
      <c r="H119" s="19">
        <v>0</v>
      </c>
      <c r="I119" s="19">
        <v>1</v>
      </c>
      <c r="J119" s="19">
        <v>0</v>
      </c>
      <c r="K119" s="19">
        <f t="shared" si="3"/>
        <v>1</v>
      </c>
      <c r="L119" s="19">
        <v>1</v>
      </c>
      <c r="M119" s="19">
        <f t="shared" si="4"/>
        <v>0</v>
      </c>
      <c r="N119" s="19">
        <v>1</v>
      </c>
      <c r="O119" s="19">
        <f t="shared" si="5"/>
        <v>0</v>
      </c>
      <c r="P119" s="19">
        <v>1</v>
      </c>
      <c r="Q119" s="19">
        <v>0</v>
      </c>
      <c r="R119" s="19">
        <v>0</v>
      </c>
      <c r="S119" s="19">
        <v>0</v>
      </c>
      <c r="T119" s="19">
        <v>0</v>
      </c>
      <c r="U119" t="s">
        <v>223</v>
      </c>
      <c r="V119" s="19">
        <v>120</v>
      </c>
      <c r="W119" s="20">
        <v>0.23791790079349001</v>
      </c>
      <c r="X119" s="8"/>
    </row>
    <row r="120" spans="1:24" x14ac:dyDescent="0.25">
      <c r="A120" s="23" t="s">
        <v>1062</v>
      </c>
      <c r="B120" s="18" t="s">
        <v>224</v>
      </c>
      <c r="C120" s="18" t="s">
        <v>7</v>
      </c>
      <c r="D120" s="5" t="s">
        <v>22</v>
      </c>
      <c r="E120" s="19">
        <v>0</v>
      </c>
      <c r="F120" s="19">
        <v>0</v>
      </c>
      <c r="G120" s="19">
        <v>0</v>
      </c>
      <c r="H120" s="19">
        <v>0</v>
      </c>
      <c r="I120" s="19">
        <v>1</v>
      </c>
      <c r="J120" s="19">
        <v>0</v>
      </c>
      <c r="K120" s="19">
        <f t="shared" si="3"/>
        <v>1</v>
      </c>
      <c r="L120" s="19">
        <v>1</v>
      </c>
      <c r="M120" s="19">
        <f t="shared" si="4"/>
        <v>0</v>
      </c>
      <c r="N120" s="19">
        <v>1</v>
      </c>
      <c r="O120" s="19">
        <f t="shared" si="5"/>
        <v>0</v>
      </c>
      <c r="P120" s="19">
        <v>1</v>
      </c>
      <c r="Q120" s="19">
        <v>0</v>
      </c>
      <c r="R120" s="19">
        <v>0</v>
      </c>
      <c r="S120" s="19">
        <v>0</v>
      </c>
      <c r="T120" s="19">
        <v>0</v>
      </c>
      <c r="U120" t="s">
        <v>225</v>
      </c>
      <c r="V120" s="19">
        <v>121</v>
      </c>
      <c r="W120" s="20">
        <v>0.130715443632308</v>
      </c>
      <c r="X120" s="8"/>
    </row>
    <row r="121" spans="1:24" x14ac:dyDescent="0.25">
      <c r="A121" s="23" t="s">
        <v>1063</v>
      </c>
      <c r="B121" s="18" t="s">
        <v>226</v>
      </c>
      <c r="C121" s="18" t="s">
        <v>7</v>
      </c>
      <c r="D121" s="5" t="s">
        <v>22</v>
      </c>
      <c r="E121" s="19">
        <v>0</v>
      </c>
      <c r="F121" s="19">
        <v>0</v>
      </c>
      <c r="G121" s="19">
        <v>0</v>
      </c>
      <c r="H121" s="19">
        <v>0</v>
      </c>
      <c r="I121" s="19">
        <v>1</v>
      </c>
      <c r="J121" s="19">
        <v>0</v>
      </c>
      <c r="K121" s="19">
        <f t="shared" si="3"/>
        <v>1</v>
      </c>
      <c r="L121" s="19">
        <v>1</v>
      </c>
      <c r="M121" s="19">
        <f t="shared" si="4"/>
        <v>0</v>
      </c>
      <c r="N121" s="19">
        <v>1</v>
      </c>
      <c r="O121" s="19">
        <f t="shared" si="5"/>
        <v>0</v>
      </c>
      <c r="P121" s="19">
        <v>1</v>
      </c>
      <c r="Q121" s="19">
        <v>0</v>
      </c>
      <c r="R121" s="19">
        <v>0</v>
      </c>
      <c r="S121" s="19">
        <v>0</v>
      </c>
      <c r="T121" s="19">
        <v>0</v>
      </c>
      <c r="U121" t="s">
        <v>227</v>
      </c>
      <c r="V121" s="19">
        <v>122</v>
      </c>
      <c r="W121" s="20">
        <v>8.8358036220602107E-2</v>
      </c>
      <c r="X121" s="8"/>
    </row>
    <row r="122" spans="1:24" x14ac:dyDescent="0.25">
      <c r="A122" s="23" t="s">
        <v>1064</v>
      </c>
      <c r="B122" s="18" t="s">
        <v>228</v>
      </c>
      <c r="C122" s="18" t="s">
        <v>7</v>
      </c>
      <c r="D122" s="5" t="s">
        <v>22</v>
      </c>
      <c r="E122" s="19">
        <v>0</v>
      </c>
      <c r="F122" s="19">
        <v>0</v>
      </c>
      <c r="G122" s="19">
        <v>0</v>
      </c>
      <c r="H122" s="19">
        <v>0</v>
      </c>
      <c r="I122" s="19">
        <v>1</v>
      </c>
      <c r="J122" s="19">
        <v>0</v>
      </c>
      <c r="K122" s="19">
        <f t="shared" si="3"/>
        <v>1</v>
      </c>
      <c r="L122" s="19">
        <v>1</v>
      </c>
      <c r="M122" s="19">
        <f t="shared" si="4"/>
        <v>0</v>
      </c>
      <c r="N122" s="19">
        <v>1</v>
      </c>
      <c r="O122" s="19">
        <f t="shared" si="5"/>
        <v>0</v>
      </c>
      <c r="P122" s="19">
        <v>1</v>
      </c>
      <c r="Q122" s="19">
        <v>0</v>
      </c>
      <c r="R122" s="19">
        <v>0</v>
      </c>
      <c r="S122" s="19">
        <v>0</v>
      </c>
      <c r="T122" s="19">
        <v>0</v>
      </c>
      <c r="U122" t="s">
        <v>229</v>
      </c>
      <c r="V122" s="19">
        <v>123</v>
      </c>
      <c r="W122" s="20">
        <v>9.8471624367526794E-2</v>
      </c>
      <c r="X122" s="8"/>
    </row>
    <row r="123" spans="1:24" x14ac:dyDescent="0.25">
      <c r="A123" s="23" t="s">
        <v>1065</v>
      </c>
      <c r="B123" s="18" t="s">
        <v>230</v>
      </c>
      <c r="C123" s="18" t="s">
        <v>7</v>
      </c>
      <c r="D123" s="5" t="s">
        <v>22</v>
      </c>
      <c r="E123" s="19">
        <v>0</v>
      </c>
      <c r="F123" s="19">
        <v>0</v>
      </c>
      <c r="G123" s="19">
        <v>0</v>
      </c>
      <c r="H123" s="19">
        <v>0</v>
      </c>
      <c r="I123" s="19">
        <v>1</v>
      </c>
      <c r="J123" s="19">
        <v>0</v>
      </c>
      <c r="K123" s="19">
        <f t="shared" si="3"/>
        <v>1</v>
      </c>
      <c r="L123" s="19">
        <v>1</v>
      </c>
      <c r="M123" s="19">
        <f t="shared" si="4"/>
        <v>0</v>
      </c>
      <c r="N123" s="19">
        <v>1</v>
      </c>
      <c r="O123" s="19">
        <f t="shared" si="5"/>
        <v>0</v>
      </c>
      <c r="P123" s="19">
        <v>1</v>
      </c>
      <c r="Q123" s="19">
        <v>0</v>
      </c>
      <c r="R123" s="19">
        <v>0</v>
      </c>
      <c r="S123" s="19">
        <v>0</v>
      </c>
      <c r="T123" s="19">
        <v>0</v>
      </c>
      <c r="U123" t="s">
        <v>231</v>
      </c>
      <c r="V123" s="19">
        <v>124</v>
      </c>
      <c r="W123" s="20">
        <v>6.6488027538794403E-2</v>
      </c>
      <c r="X123" s="8"/>
    </row>
    <row r="124" spans="1:24" x14ac:dyDescent="0.25">
      <c r="A124" s="23" t="s">
        <v>1066</v>
      </c>
      <c r="B124" s="18" t="s">
        <v>232</v>
      </c>
      <c r="C124" s="18" t="s">
        <v>7</v>
      </c>
      <c r="D124" s="5" t="s">
        <v>22</v>
      </c>
      <c r="E124" s="19">
        <v>0</v>
      </c>
      <c r="F124" s="19">
        <v>0</v>
      </c>
      <c r="G124" s="19">
        <v>0</v>
      </c>
      <c r="H124" s="19">
        <v>0</v>
      </c>
      <c r="I124" s="19">
        <v>1</v>
      </c>
      <c r="J124" s="19">
        <v>0</v>
      </c>
      <c r="K124" s="19">
        <f t="shared" si="3"/>
        <v>1</v>
      </c>
      <c r="L124" s="19">
        <v>1</v>
      </c>
      <c r="M124" s="19">
        <f t="shared" si="4"/>
        <v>0</v>
      </c>
      <c r="N124" s="19">
        <v>1</v>
      </c>
      <c r="O124" s="19">
        <f t="shared" si="5"/>
        <v>0</v>
      </c>
      <c r="P124" s="19">
        <v>1</v>
      </c>
      <c r="Q124" s="19">
        <v>0</v>
      </c>
      <c r="R124" s="19">
        <v>0</v>
      </c>
      <c r="S124" s="19">
        <v>0</v>
      </c>
      <c r="T124" s="19">
        <v>0</v>
      </c>
      <c r="U124" t="s">
        <v>233</v>
      </c>
      <c r="V124" s="19">
        <v>125</v>
      </c>
      <c r="W124" s="20">
        <v>4.4751203950640202E-2</v>
      </c>
      <c r="X124" s="8"/>
    </row>
    <row r="125" spans="1:24" x14ac:dyDescent="0.25">
      <c r="A125" s="23" t="s">
        <v>1067</v>
      </c>
      <c r="B125" s="18" t="s">
        <v>234</v>
      </c>
      <c r="C125" s="18" t="s">
        <v>7</v>
      </c>
      <c r="D125" s="5" t="s">
        <v>22</v>
      </c>
      <c r="E125" s="19">
        <v>0</v>
      </c>
      <c r="F125" s="19">
        <v>0</v>
      </c>
      <c r="G125" s="19">
        <v>0</v>
      </c>
      <c r="H125" s="19">
        <v>0</v>
      </c>
      <c r="I125" s="19">
        <v>1</v>
      </c>
      <c r="J125" s="19">
        <v>0</v>
      </c>
      <c r="K125" s="19">
        <f t="shared" si="3"/>
        <v>1</v>
      </c>
      <c r="L125" s="19">
        <v>1</v>
      </c>
      <c r="M125" s="19">
        <f t="shared" si="4"/>
        <v>0</v>
      </c>
      <c r="N125" s="19">
        <v>1</v>
      </c>
      <c r="O125" s="19">
        <f t="shared" si="5"/>
        <v>0</v>
      </c>
      <c r="P125" s="19">
        <v>1</v>
      </c>
      <c r="Q125" s="19">
        <v>0</v>
      </c>
      <c r="R125" s="19">
        <v>0</v>
      </c>
      <c r="S125" s="19">
        <v>0</v>
      </c>
      <c r="T125" s="19">
        <v>0</v>
      </c>
      <c r="U125" t="s">
        <v>235</v>
      </c>
      <c r="V125" s="19">
        <v>126</v>
      </c>
      <c r="W125" s="20">
        <v>6.1857007887619199E-2</v>
      </c>
      <c r="X125" s="8"/>
    </row>
    <row r="126" spans="1:24" x14ac:dyDescent="0.25">
      <c r="A126" s="23" t="s">
        <v>1068</v>
      </c>
      <c r="B126" s="18" t="s">
        <v>236</v>
      </c>
      <c r="C126" s="18" t="s">
        <v>7</v>
      </c>
      <c r="D126" s="5" t="s">
        <v>22</v>
      </c>
      <c r="E126" s="19">
        <v>0</v>
      </c>
      <c r="F126" s="19">
        <v>0</v>
      </c>
      <c r="G126" s="19">
        <v>0</v>
      </c>
      <c r="H126" s="19">
        <v>0</v>
      </c>
      <c r="I126" s="19">
        <v>1</v>
      </c>
      <c r="J126" s="19">
        <v>0</v>
      </c>
      <c r="K126" s="19">
        <f t="shared" si="3"/>
        <v>1</v>
      </c>
      <c r="L126" s="19">
        <v>1</v>
      </c>
      <c r="M126" s="19">
        <f t="shared" si="4"/>
        <v>0</v>
      </c>
      <c r="N126" s="19">
        <v>1</v>
      </c>
      <c r="O126" s="19">
        <f t="shared" si="5"/>
        <v>0</v>
      </c>
      <c r="P126" s="19">
        <v>1</v>
      </c>
      <c r="Q126" s="19">
        <v>0</v>
      </c>
      <c r="R126" s="19">
        <v>0</v>
      </c>
      <c r="S126" s="19">
        <v>0</v>
      </c>
      <c r="T126" s="19">
        <v>0</v>
      </c>
      <c r="U126" t="s">
        <v>237</v>
      </c>
      <c r="V126" s="19">
        <v>127</v>
      </c>
      <c r="W126" s="20">
        <v>4.2060798439261901E-2</v>
      </c>
      <c r="X126" s="8"/>
    </row>
    <row r="127" spans="1:24" x14ac:dyDescent="0.25">
      <c r="A127" s="23" t="s">
        <v>1069</v>
      </c>
      <c r="B127" s="18" t="s">
        <v>238</v>
      </c>
      <c r="C127" s="18" t="s">
        <v>7</v>
      </c>
      <c r="D127" s="5" t="s">
        <v>22</v>
      </c>
      <c r="E127" s="19">
        <v>0</v>
      </c>
      <c r="F127" s="19">
        <v>0</v>
      </c>
      <c r="G127" s="19">
        <v>0</v>
      </c>
      <c r="H127" s="19">
        <v>0</v>
      </c>
      <c r="I127" s="19">
        <v>1</v>
      </c>
      <c r="J127" s="19">
        <v>0</v>
      </c>
      <c r="K127" s="19">
        <f t="shared" si="3"/>
        <v>1</v>
      </c>
      <c r="L127" s="19">
        <v>1</v>
      </c>
      <c r="M127" s="19">
        <f t="shared" si="4"/>
        <v>0</v>
      </c>
      <c r="N127" s="19">
        <v>1</v>
      </c>
      <c r="O127" s="19">
        <f t="shared" si="5"/>
        <v>0</v>
      </c>
      <c r="P127" s="19">
        <v>1</v>
      </c>
      <c r="Q127" s="19">
        <v>0</v>
      </c>
      <c r="R127" s="19">
        <v>0</v>
      </c>
      <c r="S127" s="19">
        <v>0</v>
      </c>
      <c r="T127" s="19">
        <v>0</v>
      </c>
      <c r="U127" t="s">
        <v>239</v>
      </c>
      <c r="V127" s="19">
        <v>128</v>
      </c>
      <c r="W127" s="20">
        <v>2.4961492273593001E-2</v>
      </c>
      <c r="X127" s="8"/>
    </row>
    <row r="128" spans="1:24" x14ac:dyDescent="0.25">
      <c r="A128" s="23" t="s">
        <v>1070</v>
      </c>
      <c r="B128" s="18" t="s">
        <v>240</v>
      </c>
      <c r="C128" s="18" t="s">
        <v>7</v>
      </c>
      <c r="D128" s="5" t="s">
        <v>22</v>
      </c>
      <c r="E128" s="19">
        <v>0</v>
      </c>
      <c r="F128" s="19">
        <v>0</v>
      </c>
      <c r="G128" s="19">
        <v>0</v>
      </c>
      <c r="H128" s="19">
        <v>0</v>
      </c>
      <c r="I128" s="19">
        <v>1</v>
      </c>
      <c r="J128" s="19">
        <v>0</v>
      </c>
      <c r="K128" s="19">
        <f t="shared" si="3"/>
        <v>1</v>
      </c>
      <c r="L128" s="19">
        <v>1</v>
      </c>
      <c r="M128" s="19">
        <f t="shared" si="4"/>
        <v>0</v>
      </c>
      <c r="N128" s="19">
        <v>1</v>
      </c>
      <c r="O128" s="19">
        <f t="shared" si="5"/>
        <v>0</v>
      </c>
      <c r="P128" s="19">
        <v>1</v>
      </c>
      <c r="Q128" s="19">
        <v>0</v>
      </c>
      <c r="R128" s="19">
        <v>0</v>
      </c>
      <c r="S128" s="19">
        <v>0</v>
      </c>
      <c r="T128" s="19">
        <v>0</v>
      </c>
      <c r="U128" t="s">
        <v>241</v>
      </c>
      <c r="V128" s="19">
        <v>129</v>
      </c>
      <c r="W128" s="20">
        <v>2.5775828630761902E-2</v>
      </c>
      <c r="X128" s="8"/>
    </row>
    <row r="129" spans="1:24" x14ac:dyDescent="0.25">
      <c r="A129" s="23" t="s">
        <v>1071</v>
      </c>
      <c r="B129" s="18" t="s">
        <v>242</v>
      </c>
      <c r="C129" s="18" t="s">
        <v>7</v>
      </c>
      <c r="D129" s="5" t="s">
        <v>22</v>
      </c>
      <c r="E129" s="19">
        <v>0</v>
      </c>
      <c r="F129" s="19">
        <v>0</v>
      </c>
      <c r="G129" s="19">
        <v>0</v>
      </c>
      <c r="H129" s="19">
        <v>0</v>
      </c>
      <c r="I129" s="19">
        <v>1</v>
      </c>
      <c r="J129" s="19">
        <v>0</v>
      </c>
      <c r="K129" s="19">
        <f t="shared" ref="K129:K192" si="6">IF(I129=1,IF(J129=1,0,1),0)</f>
        <v>1</v>
      </c>
      <c r="L129" s="19">
        <v>1</v>
      </c>
      <c r="M129" s="19">
        <f t="shared" ref="M129:M192" si="7">IF(I129=1,IF(L129=1,0,1),0)</f>
        <v>0</v>
      </c>
      <c r="N129" s="19">
        <v>1</v>
      </c>
      <c r="O129" s="19">
        <f t="shared" ref="O129:O192" si="8">IF(I129=1,IF(N129=1,0,1),0)</f>
        <v>0</v>
      </c>
      <c r="P129" s="19">
        <v>1</v>
      </c>
      <c r="Q129" s="19">
        <v>0</v>
      </c>
      <c r="R129" s="19">
        <v>0</v>
      </c>
      <c r="S129" s="19">
        <v>0</v>
      </c>
      <c r="T129" s="19">
        <v>1</v>
      </c>
      <c r="U129" t="s">
        <v>243</v>
      </c>
      <c r="V129" s="19">
        <v>130</v>
      </c>
      <c r="W129" s="20">
        <v>2.7911352620602899E-2</v>
      </c>
      <c r="X129" s="8"/>
    </row>
    <row r="130" spans="1:24" x14ac:dyDescent="0.25">
      <c r="A130" s="23" t="s">
        <v>1072</v>
      </c>
      <c r="B130" s="15" t="s">
        <v>244</v>
      </c>
      <c r="C130" s="15" t="s">
        <v>25</v>
      </c>
      <c r="D130" s="5" t="s">
        <v>22</v>
      </c>
      <c r="E130" s="16">
        <v>0</v>
      </c>
      <c r="F130" s="16">
        <v>0</v>
      </c>
      <c r="G130" s="16">
        <v>0</v>
      </c>
      <c r="H130" s="16">
        <v>1</v>
      </c>
      <c r="I130" s="16">
        <v>0</v>
      </c>
      <c r="J130" s="16">
        <v>0</v>
      </c>
      <c r="K130" s="16">
        <f t="shared" si="6"/>
        <v>0</v>
      </c>
      <c r="L130" s="16">
        <v>0</v>
      </c>
      <c r="M130" s="16">
        <f t="shared" si="7"/>
        <v>0</v>
      </c>
      <c r="N130" s="16">
        <v>0</v>
      </c>
      <c r="O130" s="16">
        <f t="shared" si="8"/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/>
      <c r="V130" s="16">
        <v>131</v>
      </c>
      <c r="W130" s="17">
        <v>0.24564811672656081</v>
      </c>
      <c r="X130" s="8"/>
    </row>
    <row r="131" spans="1:24" x14ac:dyDescent="0.25">
      <c r="A131" s="23" t="s">
        <v>1073</v>
      </c>
      <c r="B131" s="18" t="s">
        <v>245</v>
      </c>
      <c r="C131" s="18" t="s">
        <v>7</v>
      </c>
      <c r="D131" s="5" t="s">
        <v>22</v>
      </c>
      <c r="E131" s="19">
        <v>0</v>
      </c>
      <c r="F131" s="19">
        <v>0</v>
      </c>
      <c r="G131" s="19">
        <v>0</v>
      </c>
      <c r="H131" s="19">
        <v>0</v>
      </c>
      <c r="I131" s="19">
        <v>1</v>
      </c>
      <c r="J131" s="19">
        <v>1</v>
      </c>
      <c r="K131" s="19">
        <f t="shared" si="6"/>
        <v>0</v>
      </c>
      <c r="L131" s="19">
        <v>1</v>
      </c>
      <c r="M131" s="19">
        <f t="shared" si="7"/>
        <v>0</v>
      </c>
      <c r="N131" s="19">
        <v>1</v>
      </c>
      <c r="O131" s="19">
        <f t="shared" si="8"/>
        <v>0</v>
      </c>
      <c r="P131" s="19">
        <v>1</v>
      </c>
      <c r="Q131" s="19">
        <v>0</v>
      </c>
      <c r="R131" s="19">
        <v>0</v>
      </c>
      <c r="S131" s="19">
        <v>0</v>
      </c>
      <c r="T131" s="19">
        <v>0</v>
      </c>
      <c r="U131" t="s">
        <v>246</v>
      </c>
      <c r="V131" s="19">
        <v>132</v>
      </c>
      <c r="W131" s="20">
        <v>0.14734098805389201</v>
      </c>
      <c r="X131" s="8"/>
    </row>
    <row r="132" spans="1:24" x14ac:dyDescent="0.25">
      <c r="A132" s="23" t="s">
        <v>1074</v>
      </c>
      <c r="B132" s="18" t="s">
        <v>247</v>
      </c>
      <c r="C132" s="18" t="s">
        <v>7</v>
      </c>
      <c r="D132" s="5" t="s">
        <v>22</v>
      </c>
      <c r="E132" s="19">
        <v>0</v>
      </c>
      <c r="F132" s="19">
        <v>0</v>
      </c>
      <c r="G132" s="19">
        <v>0</v>
      </c>
      <c r="H132" s="19">
        <v>0</v>
      </c>
      <c r="I132" s="19">
        <v>1</v>
      </c>
      <c r="J132" s="19">
        <v>1</v>
      </c>
      <c r="K132" s="19">
        <f t="shared" si="6"/>
        <v>0</v>
      </c>
      <c r="L132" s="19">
        <v>1</v>
      </c>
      <c r="M132" s="19">
        <f t="shared" si="7"/>
        <v>0</v>
      </c>
      <c r="N132" s="19">
        <v>1</v>
      </c>
      <c r="O132" s="19">
        <f t="shared" si="8"/>
        <v>0</v>
      </c>
      <c r="P132" s="19">
        <v>1</v>
      </c>
      <c r="Q132" s="19">
        <v>0</v>
      </c>
      <c r="R132" s="19">
        <v>0</v>
      </c>
      <c r="S132" s="19">
        <v>0</v>
      </c>
      <c r="T132" s="19">
        <v>0</v>
      </c>
      <c r="U132" t="s">
        <v>248</v>
      </c>
      <c r="V132" s="19">
        <v>133</v>
      </c>
      <c r="W132" s="20">
        <v>9.8307128672668803E-2</v>
      </c>
      <c r="X132" s="8"/>
    </row>
    <row r="133" spans="1:24" x14ac:dyDescent="0.25">
      <c r="A133" s="23" t="s">
        <v>1075</v>
      </c>
      <c r="B133" s="15" t="s">
        <v>249</v>
      </c>
      <c r="C133" s="15" t="s">
        <v>25</v>
      </c>
      <c r="D133" s="5" t="s">
        <v>22</v>
      </c>
      <c r="E133" s="16">
        <v>0</v>
      </c>
      <c r="F133" s="16">
        <v>0</v>
      </c>
      <c r="G133" s="16">
        <v>0</v>
      </c>
      <c r="H133" s="16">
        <v>1</v>
      </c>
      <c r="I133" s="16">
        <v>0</v>
      </c>
      <c r="J133" s="16">
        <v>0</v>
      </c>
      <c r="K133" s="16">
        <f t="shared" si="6"/>
        <v>0</v>
      </c>
      <c r="L133" s="16">
        <v>0</v>
      </c>
      <c r="M133" s="16">
        <f t="shared" si="7"/>
        <v>0</v>
      </c>
      <c r="N133" s="16">
        <v>0</v>
      </c>
      <c r="O133" s="16">
        <f t="shared" si="8"/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/>
      <c r="V133" s="16">
        <v>134</v>
      </c>
      <c r="W133" s="17">
        <v>0.10400938081829281</v>
      </c>
      <c r="X133" s="8"/>
    </row>
    <row r="134" spans="1:24" x14ac:dyDescent="0.25">
      <c r="A134" s="23" t="s">
        <v>1076</v>
      </c>
      <c r="B134" s="18" t="s">
        <v>250</v>
      </c>
      <c r="C134" s="18" t="s">
        <v>7</v>
      </c>
      <c r="D134" s="5" t="s">
        <v>22</v>
      </c>
      <c r="E134" s="19">
        <v>0</v>
      </c>
      <c r="F134" s="19">
        <v>0</v>
      </c>
      <c r="G134" s="19">
        <v>0</v>
      </c>
      <c r="H134" s="19">
        <v>0</v>
      </c>
      <c r="I134" s="19">
        <v>1</v>
      </c>
      <c r="J134" s="19">
        <v>1</v>
      </c>
      <c r="K134" s="19">
        <f t="shared" si="6"/>
        <v>0</v>
      </c>
      <c r="L134" s="19">
        <v>1</v>
      </c>
      <c r="M134" s="19">
        <f t="shared" si="7"/>
        <v>0</v>
      </c>
      <c r="N134" s="19">
        <v>1</v>
      </c>
      <c r="O134" s="19">
        <f t="shared" si="8"/>
        <v>0</v>
      </c>
      <c r="P134" s="19">
        <v>1</v>
      </c>
      <c r="Q134" s="19">
        <v>0</v>
      </c>
      <c r="R134" s="19">
        <v>0</v>
      </c>
      <c r="S134" s="19">
        <v>0</v>
      </c>
      <c r="T134" s="19">
        <v>0</v>
      </c>
      <c r="U134" t="s">
        <v>251</v>
      </c>
      <c r="V134" s="19">
        <v>135</v>
      </c>
      <c r="W134" s="20">
        <v>6.0072429686259601E-2</v>
      </c>
      <c r="X134" s="8"/>
    </row>
    <row r="135" spans="1:24" x14ac:dyDescent="0.25">
      <c r="A135" s="23" t="s">
        <v>1077</v>
      </c>
      <c r="B135" s="18" t="s">
        <v>252</v>
      </c>
      <c r="C135" s="18" t="s">
        <v>7</v>
      </c>
      <c r="D135" s="5" t="s">
        <v>22</v>
      </c>
      <c r="E135" s="19">
        <v>0</v>
      </c>
      <c r="F135" s="19">
        <v>0</v>
      </c>
      <c r="G135" s="19">
        <v>0</v>
      </c>
      <c r="H135" s="19">
        <v>0</v>
      </c>
      <c r="I135" s="19">
        <v>1</v>
      </c>
      <c r="J135" s="19">
        <v>1</v>
      </c>
      <c r="K135" s="19">
        <f t="shared" si="6"/>
        <v>0</v>
      </c>
      <c r="L135" s="19">
        <v>1</v>
      </c>
      <c r="M135" s="19">
        <f t="shared" si="7"/>
        <v>0</v>
      </c>
      <c r="N135" s="19">
        <v>1</v>
      </c>
      <c r="O135" s="19">
        <f t="shared" si="8"/>
        <v>0</v>
      </c>
      <c r="P135" s="19">
        <v>1</v>
      </c>
      <c r="Q135" s="19">
        <v>0</v>
      </c>
      <c r="R135" s="19">
        <v>0</v>
      </c>
      <c r="S135" s="19">
        <v>0</v>
      </c>
      <c r="T135" s="19">
        <v>1</v>
      </c>
      <c r="U135" t="s">
        <v>253</v>
      </c>
      <c r="V135" s="19">
        <v>136</v>
      </c>
      <c r="W135" s="20">
        <v>4.3936951132033199E-2</v>
      </c>
      <c r="X135" s="8"/>
    </row>
    <row r="136" spans="1:24" x14ac:dyDescent="0.25">
      <c r="A136" s="23" t="s">
        <v>1078</v>
      </c>
      <c r="B136" s="12" t="s">
        <v>254</v>
      </c>
      <c r="C136" s="12" t="s">
        <v>5</v>
      </c>
      <c r="D136" s="5" t="s">
        <v>22</v>
      </c>
      <c r="E136" s="13">
        <v>0</v>
      </c>
      <c r="F136" s="13">
        <v>0</v>
      </c>
      <c r="G136" s="13">
        <v>1</v>
      </c>
      <c r="H136" s="13">
        <v>0</v>
      </c>
      <c r="I136" s="13">
        <v>0</v>
      </c>
      <c r="J136" s="13">
        <v>0</v>
      </c>
      <c r="K136" s="13">
        <f t="shared" si="6"/>
        <v>0</v>
      </c>
      <c r="L136" s="13">
        <v>0</v>
      </c>
      <c r="M136" s="13">
        <f t="shared" si="7"/>
        <v>0</v>
      </c>
      <c r="N136" s="13">
        <v>0</v>
      </c>
      <c r="O136" s="13">
        <f t="shared" si="8"/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/>
      <c r="V136" s="13">
        <v>137</v>
      </c>
      <c r="W136" s="14">
        <v>0.62855216742138431</v>
      </c>
      <c r="X136" s="8"/>
    </row>
    <row r="137" spans="1:24" x14ac:dyDescent="0.25">
      <c r="A137" s="23" t="s">
        <v>1079</v>
      </c>
      <c r="B137" s="15" t="s">
        <v>255</v>
      </c>
      <c r="C137" s="15" t="s">
        <v>25</v>
      </c>
      <c r="D137" s="5" t="s">
        <v>22</v>
      </c>
      <c r="E137" s="16">
        <v>0</v>
      </c>
      <c r="F137" s="16">
        <v>0</v>
      </c>
      <c r="G137" s="16">
        <v>0</v>
      </c>
      <c r="H137" s="16">
        <v>1</v>
      </c>
      <c r="I137" s="16">
        <v>0</v>
      </c>
      <c r="J137" s="16">
        <v>0</v>
      </c>
      <c r="K137" s="16">
        <f t="shared" si="6"/>
        <v>0</v>
      </c>
      <c r="L137" s="16">
        <v>0</v>
      </c>
      <c r="M137" s="16">
        <f t="shared" si="7"/>
        <v>0</v>
      </c>
      <c r="N137" s="16">
        <v>0</v>
      </c>
      <c r="O137" s="16">
        <f t="shared" si="8"/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/>
      <c r="V137" s="16">
        <v>138</v>
      </c>
      <c r="W137" s="17">
        <v>0.43950768892876807</v>
      </c>
      <c r="X137" s="8"/>
    </row>
    <row r="138" spans="1:24" x14ac:dyDescent="0.25">
      <c r="A138" s="23" t="s">
        <v>1080</v>
      </c>
      <c r="B138" s="18" t="s">
        <v>256</v>
      </c>
      <c r="C138" s="18" t="s">
        <v>7</v>
      </c>
      <c r="D138" s="5" t="s">
        <v>22</v>
      </c>
      <c r="E138" s="19">
        <v>0</v>
      </c>
      <c r="F138" s="19">
        <v>0</v>
      </c>
      <c r="G138" s="19">
        <v>0</v>
      </c>
      <c r="H138" s="19">
        <v>0</v>
      </c>
      <c r="I138" s="19">
        <v>1</v>
      </c>
      <c r="J138" s="19">
        <v>0</v>
      </c>
      <c r="K138" s="19">
        <f t="shared" si="6"/>
        <v>1</v>
      </c>
      <c r="L138" s="19">
        <v>0</v>
      </c>
      <c r="M138" s="19">
        <f t="shared" si="7"/>
        <v>1</v>
      </c>
      <c r="N138" s="19">
        <v>1</v>
      </c>
      <c r="O138" s="19">
        <f t="shared" si="8"/>
        <v>0</v>
      </c>
      <c r="P138" s="19">
        <v>1</v>
      </c>
      <c r="Q138" s="19">
        <v>0</v>
      </c>
      <c r="R138" s="19">
        <v>0</v>
      </c>
      <c r="S138" s="19">
        <v>0</v>
      </c>
      <c r="T138" s="19">
        <v>0</v>
      </c>
      <c r="U138" t="s">
        <v>257</v>
      </c>
      <c r="V138" s="19">
        <v>139</v>
      </c>
      <c r="W138" s="20">
        <v>0.38317603510548398</v>
      </c>
      <c r="X138" s="8"/>
    </row>
    <row r="139" spans="1:24" x14ac:dyDescent="0.25">
      <c r="A139" s="23" t="s">
        <v>1081</v>
      </c>
      <c r="B139" s="18" t="s">
        <v>258</v>
      </c>
      <c r="C139" s="18" t="s">
        <v>7</v>
      </c>
      <c r="D139" s="5" t="s">
        <v>22</v>
      </c>
      <c r="E139" s="19">
        <v>0</v>
      </c>
      <c r="F139" s="19">
        <v>0</v>
      </c>
      <c r="G139" s="19">
        <v>0</v>
      </c>
      <c r="H139" s="19">
        <v>0</v>
      </c>
      <c r="I139" s="19">
        <v>1</v>
      </c>
      <c r="J139" s="19">
        <v>0</v>
      </c>
      <c r="K139" s="19">
        <f t="shared" si="6"/>
        <v>1</v>
      </c>
      <c r="L139" s="19">
        <v>0</v>
      </c>
      <c r="M139" s="19">
        <f t="shared" si="7"/>
        <v>1</v>
      </c>
      <c r="N139" s="19">
        <v>1</v>
      </c>
      <c r="O139" s="19">
        <f t="shared" si="8"/>
        <v>0</v>
      </c>
      <c r="P139" s="19">
        <v>1</v>
      </c>
      <c r="Q139" s="19">
        <v>0</v>
      </c>
      <c r="R139" s="19">
        <v>0</v>
      </c>
      <c r="S139" s="19">
        <v>0</v>
      </c>
      <c r="T139" s="19">
        <v>0</v>
      </c>
      <c r="U139" t="s">
        <v>259</v>
      </c>
      <c r="V139" s="19">
        <v>140</v>
      </c>
      <c r="W139" s="20">
        <v>5.6331653823284103E-2</v>
      </c>
      <c r="X139" s="8"/>
    </row>
    <row r="140" spans="1:24" x14ac:dyDescent="0.25">
      <c r="A140" s="23" t="s">
        <v>1082</v>
      </c>
      <c r="B140" s="15" t="s">
        <v>260</v>
      </c>
      <c r="C140" s="15" t="s">
        <v>25</v>
      </c>
      <c r="D140" s="5" t="s">
        <v>22</v>
      </c>
      <c r="E140" s="16">
        <v>0</v>
      </c>
      <c r="F140" s="16">
        <v>0</v>
      </c>
      <c r="G140" s="16">
        <v>0</v>
      </c>
      <c r="H140" s="16">
        <v>1</v>
      </c>
      <c r="I140" s="16">
        <v>0</v>
      </c>
      <c r="J140" s="16">
        <v>0</v>
      </c>
      <c r="K140" s="16">
        <f t="shared" si="6"/>
        <v>0</v>
      </c>
      <c r="L140" s="16">
        <v>0</v>
      </c>
      <c r="M140" s="16">
        <f t="shared" si="7"/>
        <v>0</v>
      </c>
      <c r="N140" s="16">
        <v>0</v>
      </c>
      <c r="O140" s="16">
        <f t="shared" si="8"/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/>
      <c r="V140" s="16">
        <v>141</v>
      </c>
      <c r="W140" s="17">
        <v>9.24914489114875E-2</v>
      </c>
      <c r="X140" s="8"/>
    </row>
    <row r="141" spans="1:24" x14ac:dyDescent="0.25">
      <c r="A141" s="23" t="s">
        <v>1083</v>
      </c>
      <c r="B141" s="18" t="s">
        <v>261</v>
      </c>
      <c r="C141" s="18" t="s">
        <v>7</v>
      </c>
      <c r="D141" s="5" t="s">
        <v>22</v>
      </c>
      <c r="E141" s="19">
        <v>0</v>
      </c>
      <c r="F141" s="19">
        <v>0</v>
      </c>
      <c r="G141" s="19">
        <v>0</v>
      </c>
      <c r="H141" s="19">
        <v>0</v>
      </c>
      <c r="I141" s="19">
        <v>1</v>
      </c>
      <c r="J141" s="19">
        <v>1</v>
      </c>
      <c r="K141" s="19">
        <f t="shared" si="6"/>
        <v>0</v>
      </c>
      <c r="L141" s="19">
        <v>1</v>
      </c>
      <c r="M141" s="19">
        <f t="shared" si="7"/>
        <v>0</v>
      </c>
      <c r="N141" s="19">
        <v>1</v>
      </c>
      <c r="O141" s="19">
        <f t="shared" si="8"/>
        <v>0</v>
      </c>
      <c r="P141" s="19">
        <v>1</v>
      </c>
      <c r="Q141" s="19">
        <v>0</v>
      </c>
      <c r="R141" s="19">
        <v>0</v>
      </c>
      <c r="S141" s="19">
        <v>0</v>
      </c>
      <c r="T141" s="19">
        <v>0</v>
      </c>
      <c r="U141" t="s">
        <v>262</v>
      </c>
      <c r="V141" s="19">
        <v>142</v>
      </c>
      <c r="W141" s="20">
        <v>1.6052404707346001E-2</v>
      </c>
      <c r="X141" s="8"/>
    </row>
    <row r="142" spans="1:24" x14ac:dyDescent="0.25">
      <c r="A142" s="23" t="s">
        <v>1084</v>
      </c>
      <c r="B142" s="18" t="s">
        <v>263</v>
      </c>
      <c r="C142" s="18" t="s">
        <v>7</v>
      </c>
      <c r="D142" s="5" t="s">
        <v>22</v>
      </c>
      <c r="E142" s="19">
        <v>0</v>
      </c>
      <c r="F142" s="19">
        <v>0</v>
      </c>
      <c r="G142" s="19">
        <v>0</v>
      </c>
      <c r="H142" s="19">
        <v>0</v>
      </c>
      <c r="I142" s="19">
        <v>1</v>
      </c>
      <c r="J142" s="19">
        <v>1</v>
      </c>
      <c r="K142" s="19">
        <f t="shared" si="6"/>
        <v>0</v>
      </c>
      <c r="L142" s="19">
        <v>1</v>
      </c>
      <c r="M142" s="19">
        <f t="shared" si="7"/>
        <v>0</v>
      </c>
      <c r="N142" s="19">
        <v>1</v>
      </c>
      <c r="O142" s="19">
        <f t="shared" si="8"/>
        <v>0</v>
      </c>
      <c r="P142" s="19">
        <v>1</v>
      </c>
      <c r="Q142" s="19">
        <v>0</v>
      </c>
      <c r="R142" s="19">
        <v>0</v>
      </c>
      <c r="S142" s="19">
        <v>0</v>
      </c>
      <c r="T142" s="19">
        <v>1</v>
      </c>
      <c r="U142" t="s">
        <v>264</v>
      </c>
      <c r="V142" s="19">
        <v>143</v>
      </c>
      <c r="W142" s="20">
        <v>5.66406044652151E-2</v>
      </c>
      <c r="X142" s="8"/>
    </row>
    <row r="143" spans="1:24" x14ac:dyDescent="0.25">
      <c r="A143" s="23" t="s">
        <v>1085</v>
      </c>
      <c r="B143" s="18" t="s">
        <v>265</v>
      </c>
      <c r="C143" s="18" t="s">
        <v>7</v>
      </c>
      <c r="D143" s="5" t="s">
        <v>22</v>
      </c>
      <c r="E143" s="19">
        <v>0</v>
      </c>
      <c r="F143" s="19">
        <v>0</v>
      </c>
      <c r="G143" s="19">
        <v>0</v>
      </c>
      <c r="H143" s="19">
        <v>0</v>
      </c>
      <c r="I143" s="19">
        <v>1</v>
      </c>
      <c r="J143" s="19">
        <v>1</v>
      </c>
      <c r="K143" s="19">
        <f t="shared" si="6"/>
        <v>0</v>
      </c>
      <c r="L143" s="19">
        <v>1</v>
      </c>
      <c r="M143" s="19">
        <f t="shared" si="7"/>
        <v>0</v>
      </c>
      <c r="N143" s="19">
        <v>1</v>
      </c>
      <c r="O143" s="19">
        <f t="shared" si="8"/>
        <v>0</v>
      </c>
      <c r="P143" s="19">
        <v>1</v>
      </c>
      <c r="Q143" s="19">
        <v>0</v>
      </c>
      <c r="R143" s="19">
        <v>0</v>
      </c>
      <c r="S143" s="19">
        <v>0</v>
      </c>
      <c r="T143" s="19">
        <v>1</v>
      </c>
      <c r="U143" t="s">
        <v>266</v>
      </c>
      <c r="V143" s="19">
        <v>144</v>
      </c>
      <c r="W143" s="20">
        <v>1.97984397389264E-2</v>
      </c>
      <c r="X143" s="8"/>
    </row>
    <row r="144" spans="1:24" x14ac:dyDescent="0.25">
      <c r="A144" s="23" t="s">
        <v>1086</v>
      </c>
      <c r="B144" s="15" t="s">
        <v>267</v>
      </c>
      <c r="C144" s="15" t="s">
        <v>25</v>
      </c>
      <c r="D144" s="5" t="s">
        <v>22</v>
      </c>
      <c r="E144" s="16">
        <v>0</v>
      </c>
      <c r="F144" s="16">
        <v>0</v>
      </c>
      <c r="G144" s="16">
        <v>0</v>
      </c>
      <c r="H144" s="16">
        <v>1</v>
      </c>
      <c r="I144" s="16">
        <v>0</v>
      </c>
      <c r="J144" s="16">
        <v>0</v>
      </c>
      <c r="K144" s="16">
        <f t="shared" si="6"/>
        <v>0</v>
      </c>
      <c r="L144" s="16">
        <v>0</v>
      </c>
      <c r="M144" s="16">
        <f t="shared" si="7"/>
        <v>0</v>
      </c>
      <c r="N144" s="16">
        <v>0</v>
      </c>
      <c r="O144" s="16">
        <f t="shared" si="8"/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/>
      <c r="V144" s="16">
        <v>145</v>
      </c>
      <c r="W144" s="17">
        <v>9.6553029581128796E-2</v>
      </c>
      <c r="X144" s="8"/>
    </row>
    <row r="145" spans="1:24" x14ac:dyDescent="0.25">
      <c r="A145" s="23" t="s">
        <v>1087</v>
      </c>
      <c r="B145" s="18" t="s">
        <v>267</v>
      </c>
      <c r="C145" s="18" t="s">
        <v>7</v>
      </c>
      <c r="D145" s="5" t="s">
        <v>22</v>
      </c>
      <c r="E145" s="19">
        <v>0</v>
      </c>
      <c r="F145" s="19">
        <v>0</v>
      </c>
      <c r="G145" s="19">
        <v>0</v>
      </c>
      <c r="H145" s="19">
        <v>0</v>
      </c>
      <c r="I145" s="19">
        <v>1</v>
      </c>
      <c r="J145" s="19">
        <v>1</v>
      </c>
      <c r="K145" s="19">
        <f t="shared" si="6"/>
        <v>0</v>
      </c>
      <c r="L145" s="19">
        <v>1</v>
      </c>
      <c r="M145" s="19">
        <f t="shared" si="7"/>
        <v>0</v>
      </c>
      <c r="N145" s="19">
        <v>1</v>
      </c>
      <c r="O145" s="19">
        <f t="shared" si="8"/>
        <v>0</v>
      </c>
      <c r="P145" s="19">
        <v>1</v>
      </c>
      <c r="Q145" s="19">
        <v>0</v>
      </c>
      <c r="R145" s="19">
        <v>0</v>
      </c>
      <c r="S145" s="19">
        <v>0</v>
      </c>
      <c r="T145" s="19">
        <v>0</v>
      </c>
      <c r="U145" t="s">
        <v>268</v>
      </c>
      <c r="V145" s="19">
        <v>146</v>
      </c>
      <c r="W145" s="20">
        <v>6.9688097396816598E-2</v>
      </c>
      <c r="X145" s="8"/>
    </row>
    <row r="146" spans="1:24" x14ac:dyDescent="0.25">
      <c r="A146" s="23" t="s">
        <v>1088</v>
      </c>
      <c r="B146" s="18" t="s">
        <v>269</v>
      </c>
      <c r="C146" s="18" t="s">
        <v>7</v>
      </c>
      <c r="D146" s="5" t="s">
        <v>22</v>
      </c>
      <c r="E146" s="19">
        <v>0</v>
      </c>
      <c r="F146" s="19">
        <v>0</v>
      </c>
      <c r="G146" s="19">
        <v>0</v>
      </c>
      <c r="H146" s="19">
        <v>0</v>
      </c>
      <c r="I146" s="19">
        <v>1</v>
      </c>
      <c r="J146" s="19">
        <v>1</v>
      </c>
      <c r="K146" s="19">
        <f t="shared" si="6"/>
        <v>0</v>
      </c>
      <c r="L146" s="19">
        <v>1</v>
      </c>
      <c r="M146" s="19">
        <f t="shared" si="7"/>
        <v>0</v>
      </c>
      <c r="N146" s="19">
        <v>1</v>
      </c>
      <c r="O146" s="19">
        <f t="shared" si="8"/>
        <v>0</v>
      </c>
      <c r="P146" s="19">
        <v>1</v>
      </c>
      <c r="Q146" s="19">
        <v>0</v>
      </c>
      <c r="R146" s="19">
        <v>0</v>
      </c>
      <c r="S146" s="19">
        <v>0</v>
      </c>
      <c r="T146" s="19">
        <v>0</v>
      </c>
      <c r="U146" t="s">
        <v>270</v>
      </c>
      <c r="V146" s="19">
        <v>147</v>
      </c>
      <c r="W146" s="20">
        <v>2.6864932184312199E-2</v>
      </c>
      <c r="X146" s="8"/>
    </row>
    <row r="147" spans="1:24" x14ac:dyDescent="0.25">
      <c r="A147" s="23" t="s">
        <v>1089</v>
      </c>
      <c r="B147" s="12" t="s">
        <v>271</v>
      </c>
      <c r="C147" s="12" t="s">
        <v>5</v>
      </c>
      <c r="D147" s="5" t="s">
        <v>22</v>
      </c>
      <c r="E147" s="13">
        <v>0</v>
      </c>
      <c r="F147" s="13">
        <v>0</v>
      </c>
      <c r="G147" s="13">
        <v>1</v>
      </c>
      <c r="H147" s="13">
        <v>0</v>
      </c>
      <c r="I147" s="13">
        <v>0</v>
      </c>
      <c r="J147" s="13">
        <v>0</v>
      </c>
      <c r="K147" s="13">
        <f t="shared" si="6"/>
        <v>0</v>
      </c>
      <c r="L147" s="13">
        <v>0</v>
      </c>
      <c r="M147" s="13">
        <f t="shared" si="7"/>
        <v>0</v>
      </c>
      <c r="N147" s="13">
        <v>0</v>
      </c>
      <c r="O147" s="13">
        <f t="shared" si="8"/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V147" s="13">
        <v>148</v>
      </c>
      <c r="W147" s="14">
        <v>1.2906004027492539</v>
      </c>
      <c r="X147" s="8"/>
    </row>
    <row r="148" spans="1:24" x14ac:dyDescent="0.25">
      <c r="A148" s="23" t="s">
        <v>1090</v>
      </c>
      <c r="B148" s="15" t="s">
        <v>272</v>
      </c>
      <c r="C148" s="15" t="s">
        <v>25</v>
      </c>
      <c r="D148" s="5" t="s">
        <v>22</v>
      </c>
      <c r="E148" s="16">
        <v>0</v>
      </c>
      <c r="F148" s="16">
        <v>0</v>
      </c>
      <c r="G148" s="16">
        <v>0</v>
      </c>
      <c r="H148" s="16">
        <v>1</v>
      </c>
      <c r="I148" s="16">
        <v>0</v>
      </c>
      <c r="J148" s="16">
        <v>0</v>
      </c>
      <c r="K148" s="16">
        <f t="shared" si="6"/>
        <v>0</v>
      </c>
      <c r="L148" s="16">
        <v>0</v>
      </c>
      <c r="M148" s="16">
        <f t="shared" si="7"/>
        <v>0</v>
      </c>
      <c r="N148" s="16">
        <v>0</v>
      </c>
      <c r="O148" s="16">
        <f t="shared" si="8"/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V148" s="16">
        <v>149</v>
      </c>
      <c r="W148" s="17">
        <v>2.6470169433125901E-2</v>
      </c>
      <c r="X148" s="8"/>
    </row>
    <row r="149" spans="1:24" x14ac:dyDescent="0.25">
      <c r="A149" s="23" t="s">
        <v>1091</v>
      </c>
      <c r="B149" s="18" t="s">
        <v>272</v>
      </c>
      <c r="C149" s="18" t="s">
        <v>7</v>
      </c>
      <c r="D149" s="5" t="s">
        <v>22</v>
      </c>
      <c r="E149" s="19">
        <v>0</v>
      </c>
      <c r="F149" s="19">
        <v>0</v>
      </c>
      <c r="G149" s="19">
        <v>0</v>
      </c>
      <c r="H149" s="19">
        <v>0</v>
      </c>
      <c r="I149" s="19">
        <v>1</v>
      </c>
      <c r="J149" s="19">
        <v>1</v>
      </c>
      <c r="K149" s="19">
        <f t="shared" si="6"/>
        <v>0</v>
      </c>
      <c r="L149" s="19">
        <v>1</v>
      </c>
      <c r="M149" s="19">
        <f t="shared" si="7"/>
        <v>0</v>
      </c>
      <c r="N149" s="19">
        <v>1</v>
      </c>
      <c r="O149" s="19">
        <f t="shared" si="8"/>
        <v>0</v>
      </c>
      <c r="P149" s="19">
        <v>1</v>
      </c>
      <c r="Q149" s="19">
        <v>0</v>
      </c>
      <c r="R149" s="19">
        <v>0</v>
      </c>
      <c r="S149" s="19">
        <v>0</v>
      </c>
      <c r="T149" s="19">
        <v>0</v>
      </c>
      <c r="U149" t="s">
        <v>273</v>
      </c>
      <c r="V149" s="19">
        <v>150</v>
      </c>
      <c r="W149" s="20">
        <v>2.6470169433125901E-2</v>
      </c>
      <c r="X149" s="8"/>
    </row>
    <row r="150" spans="1:24" x14ac:dyDescent="0.25">
      <c r="A150" s="23" t="s">
        <v>1092</v>
      </c>
      <c r="B150" s="15" t="s">
        <v>274</v>
      </c>
      <c r="C150" s="15" t="s">
        <v>25</v>
      </c>
      <c r="D150" s="5" t="s">
        <v>22</v>
      </c>
      <c r="E150" s="16">
        <v>0</v>
      </c>
      <c r="F150" s="16">
        <v>0</v>
      </c>
      <c r="G150" s="16">
        <v>0</v>
      </c>
      <c r="H150" s="16">
        <v>1</v>
      </c>
      <c r="I150" s="16">
        <v>0</v>
      </c>
      <c r="J150" s="16">
        <v>0</v>
      </c>
      <c r="K150" s="16">
        <f t="shared" si="6"/>
        <v>0</v>
      </c>
      <c r="L150" s="16">
        <v>0</v>
      </c>
      <c r="M150" s="16">
        <f t="shared" si="7"/>
        <v>0</v>
      </c>
      <c r="N150" s="16">
        <v>0</v>
      </c>
      <c r="O150" s="16">
        <f t="shared" si="8"/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/>
      <c r="V150" s="16">
        <v>151</v>
      </c>
      <c r="W150" s="17">
        <v>0.76418571594728979</v>
      </c>
      <c r="X150" s="8"/>
    </row>
    <row r="151" spans="1:24" x14ac:dyDescent="0.25">
      <c r="A151" s="23" t="s">
        <v>1093</v>
      </c>
      <c r="B151" s="18" t="s">
        <v>275</v>
      </c>
      <c r="C151" s="18" t="s">
        <v>7</v>
      </c>
      <c r="D151" s="5" t="s">
        <v>22</v>
      </c>
      <c r="E151" s="19">
        <v>0</v>
      </c>
      <c r="F151" s="19">
        <v>0</v>
      </c>
      <c r="G151" s="19">
        <v>0</v>
      </c>
      <c r="H151" s="19">
        <v>0</v>
      </c>
      <c r="I151" s="19">
        <v>1</v>
      </c>
      <c r="J151" s="19">
        <v>1</v>
      </c>
      <c r="K151" s="19">
        <f t="shared" si="6"/>
        <v>0</v>
      </c>
      <c r="L151" s="19">
        <v>1</v>
      </c>
      <c r="M151" s="19">
        <f t="shared" si="7"/>
        <v>0</v>
      </c>
      <c r="N151" s="19">
        <v>1</v>
      </c>
      <c r="O151" s="19">
        <f t="shared" si="8"/>
        <v>0</v>
      </c>
      <c r="P151" s="19">
        <v>1</v>
      </c>
      <c r="Q151" s="19">
        <v>0</v>
      </c>
      <c r="R151" s="19">
        <v>0</v>
      </c>
      <c r="S151" s="19">
        <v>0</v>
      </c>
      <c r="T151" s="19">
        <v>0</v>
      </c>
      <c r="U151" t="s">
        <v>276</v>
      </c>
      <c r="V151" s="19">
        <v>152</v>
      </c>
      <c r="W151" s="20">
        <v>0.31242068144746798</v>
      </c>
      <c r="X151" s="8"/>
    </row>
    <row r="152" spans="1:24" x14ac:dyDescent="0.25">
      <c r="A152" s="23" t="s">
        <v>1094</v>
      </c>
      <c r="B152" s="18" t="s">
        <v>277</v>
      </c>
      <c r="C152" s="18" t="s">
        <v>7</v>
      </c>
      <c r="D152" s="5" t="s">
        <v>22</v>
      </c>
      <c r="E152" s="19">
        <v>0</v>
      </c>
      <c r="F152" s="19">
        <v>0</v>
      </c>
      <c r="G152" s="19">
        <v>0</v>
      </c>
      <c r="H152" s="19">
        <v>0</v>
      </c>
      <c r="I152" s="19">
        <v>1</v>
      </c>
      <c r="J152" s="19">
        <v>1</v>
      </c>
      <c r="K152" s="19">
        <f t="shared" si="6"/>
        <v>0</v>
      </c>
      <c r="L152" s="19">
        <v>1</v>
      </c>
      <c r="M152" s="19">
        <f t="shared" si="7"/>
        <v>0</v>
      </c>
      <c r="N152" s="19">
        <v>1</v>
      </c>
      <c r="O152" s="19">
        <f t="shared" si="8"/>
        <v>0</v>
      </c>
      <c r="P152" s="19">
        <v>1</v>
      </c>
      <c r="Q152" s="19">
        <v>0</v>
      </c>
      <c r="R152" s="19">
        <v>0</v>
      </c>
      <c r="S152" s="19">
        <v>0</v>
      </c>
      <c r="T152" s="19">
        <v>0</v>
      </c>
      <c r="U152" t="s">
        <v>278</v>
      </c>
      <c r="V152" s="19">
        <v>153</v>
      </c>
      <c r="W152" s="20">
        <v>0.17052104758042699</v>
      </c>
      <c r="X152" s="8"/>
    </row>
    <row r="153" spans="1:24" x14ac:dyDescent="0.25">
      <c r="A153" s="23" t="s">
        <v>1095</v>
      </c>
      <c r="B153" s="18" t="s">
        <v>279</v>
      </c>
      <c r="C153" s="18" t="s">
        <v>7</v>
      </c>
      <c r="D153" s="5" t="s">
        <v>22</v>
      </c>
      <c r="E153" s="19">
        <v>0</v>
      </c>
      <c r="F153" s="19">
        <v>0</v>
      </c>
      <c r="G153" s="19">
        <v>0</v>
      </c>
      <c r="H153" s="19">
        <v>0</v>
      </c>
      <c r="I153" s="19">
        <v>1</v>
      </c>
      <c r="J153" s="19">
        <v>1</v>
      </c>
      <c r="K153" s="19">
        <f t="shared" si="6"/>
        <v>0</v>
      </c>
      <c r="L153" s="19">
        <v>1</v>
      </c>
      <c r="M153" s="19">
        <f t="shared" si="7"/>
        <v>0</v>
      </c>
      <c r="N153" s="19">
        <v>1</v>
      </c>
      <c r="O153" s="19">
        <f t="shared" si="8"/>
        <v>0</v>
      </c>
      <c r="P153" s="19">
        <v>1</v>
      </c>
      <c r="Q153" s="19">
        <v>0</v>
      </c>
      <c r="R153" s="19">
        <v>0</v>
      </c>
      <c r="S153" s="19">
        <v>0</v>
      </c>
      <c r="T153" s="19">
        <v>0</v>
      </c>
      <c r="U153" t="s">
        <v>280</v>
      </c>
      <c r="V153" s="19">
        <v>154</v>
      </c>
      <c r="W153" s="20">
        <v>9.3711903565063995E-2</v>
      </c>
      <c r="X153" s="8"/>
    </row>
    <row r="154" spans="1:24" x14ac:dyDescent="0.25">
      <c r="A154" s="23" t="s">
        <v>1096</v>
      </c>
      <c r="B154" s="18" t="s">
        <v>281</v>
      </c>
      <c r="C154" s="18" t="s">
        <v>7</v>
      </c>
      <c r="D154" s="5" t="s">
        <v>22</v>
      </c>
      <c r="E154" s="19">
        <v>0</v>
      </c>
      <c r="F154" s="19">
        <v>0</v>
      </c>
      <c r="G154" s="19">
        <v>0</v>
      </c>
      <c r="H154" s="19">
        <v>0</v>
      </c>
      <c r="I154" s="19">
        <v>1</v>
      </c>
      <c r="J154" s="19">
        <v>1</v>
      </c>
      <c r="K154" s="19">
        <f t="shared" si="6"/>
        <v>0</v>
      </c>
      <c r="L154" s="19">
        <v>1</v>
      </c>
      <c r="M154" s="19">
        <f t="shared" si="7"/>
        <v>0</v>
      </c>
      <c r="N154" s="19">
        <v>1</v>
      </c>
      <c r="O154" s="19">
        <f t="shared" si="8"/>
        <v>0</v>
      </c>
      <c r="P154" s="19">
        <v>1</v>
      </c>
      <c r="Q154" s="19">
        <v>0</v>
      </c>
      <c r="R154" s="19">
        <v>0</v>
      </c>
      <c r="S154" s="19">
        <v>0</v>
      </c>
      <c r="T154" s="19">
        <v>0</v>
      </c>
      <c r="U154" t="s">
        <v>282</v>
      </c>
      <c r="V154" s="19">
        <v>155</v>
      </c>
      <c r="W154" s="20">
        <v>4.1478661685950699E-2</v>
      </c>
      <c r="X154" s="8"/>
    </row>
    <row r="155" spans="1:24" x14ac:dyDescent="0.25">
      <c r="A155" s="23" t="s">
        <v>1097</v>
      </c>
      <c r="B155" s="18" t="s">
        <v>283</v>
      </c>
      <c r="C155" s="18" t="s">
        <v>7</v>
      </c>
      <c r="D155" s="5" t="s">
        <v>22</v>
      </c>
      <c r="E155" s="19">
        <v>0</v>
      </c>
      <c r="F155" s="19">
        <v>0</v>
      </c>
      <c r="G155" s="19">
        <v>0</v>
      </c>
      <c r="H155" s="19">
        <v>0</v>
      </c>
      <c r="I155" s="19">
        <v>1</v>
      </c>
      <c r="J155" s="19">
        <v>1</v>
      </c>
      <c r="K155" s="19">
        <f t="shared" si="6"/>
        <v>0</v>
      </c>
      <c r="L155" s="19">
        <v>1</v>
      </c>
      <c r="M155" s="19">
        <f t="shared" si="7"/>
        <v>0</v>
      </c>
      <c r="N155" s="19">
        <v>1</v>
      </c>
      <c r="O155" s="19">
        <f t="shared" si="8"/>
        <v>0</v>
      </c>
      <c r="P155" s="19">
        <v>1</v>
      </c>
      <c r="Q155" s="19">
        <v>0</v>
      </c>
      <c r="R155" s="19">
        <v>0</v>
      </c>
      <c r="S155" s="19">
        <v>0</v>
      </c>
      <c r="T155" s="19">
        <v>0</v>
      </c>
      <c r="U155" t="s">
        <v>284</v>
      </c>
      <c r="V155" s="19">
        <v>156</v>
      </c>
      <c r="W155" s="20">
        <v>5.4487545797732698E-2</v>
      </c>
      <c r="X155" s="8"/>
    </row>
    <row r="156" spans="1:24" x14ac:dyDescent="0.25">
      <c r="A156" s="23" t="s">
        <v>1098</v>
      </c>
      <c r="B156" s="18" t="s">
        <v>285</v>
      </c>
      <c r="C156" s="18" t="s">
        <v>7</v>
      </c>
      <c r="D156" s="5" t="s">
        <v>22</v>
      </c>
      <c r="E156" s="19">
        <v>0</v>
      </c>
      <c r="F156" s="19">
        <v>0</v>
      </c>
      <c r="G156" s="19">
        <v>0</v>
      </c>
      <c r="H156" s="19">
        <v>0</v>
      </c>
      <c r="I156" s="19">
        <v>1</v>
      </c>
      <c r="J156" s="19">
        <v>1</v>
      </c>
      <c r="K156" s="19">
        <f t="shared" si="6"/>
        <v>0</v>
      </c>
      <c r="L156" s="19">
        <v>1</v>
      </c>
      <c r="M156" s="19">
        <f t="shared" si="7"/>
        <v>0</v>
      </c>
      <c r="N156" s="19">
        <v>1</v>
      </c>
      <c r="O156" s="19">
        <f t="shared" si="8"/>
        <v>0</v>
      </c>
      <c r="P156" s="19">
        <v>1</v>
      </c>
      <c r="Q156" s="19">
        <v>0</v>
      </c>
      <c r="R156" s="19">
        <v>0</v>
      </c>
      <c r="S156" s="19">
        <v>0</v>
      </c>
      <c r="T156" s="19">
        <v>0</v>
      </c>
      <c r="U156" t="s">
        <v>286</v>
      </c>
      <c r="V156" s="19">
        <v>157</v>
      </c>
      <c r="W156" s="20">
        <v>3.6392109347764601E-2</v>
      </c>
      <c r="X156" s="8"/>
    </row>
    <row r="157" spans="1:24" x14ac:dyDescent="0.25">
      <c r="A157" s="23" t="s">
        <v>1099</v>
      </c>
      <c r="B157" s="18" t="s">
        <v>287</v>
      </c>
      <c r="C157" s="18" t="s">
        <v>7</v>
      </c>
      <c r="D157" s="5" t="s">
        <v>22</v>
      </c>
      <c r="E157" s="19">
        <v>0</v>
      </c>
      <c r="F157" s="19">
        <v>0</v>
      </c>
      <c r="G157" s="19">
        <v>0</v>
      </c>
      <c r="H157" s="19">
        <v>0</v>
      </c>
      <c r="I157" s="19">
        <v>1</v>
      </c>
      <c r="J157" s="19">
        <v>1</v>
      </c>
      <c r="K157" s="19">
        <f t="shared" si="6"/>
        <v>0</v>
      </c>
      <c r="L157" s="19">
        <v>1</v>
      </c>
      <c r="M157" s="19">
        <f t="shared" si="7"/>
        <v>0</v>
      </c>
      <c r="N157" s="19">
        <v>1</v>
      </c>
      <c r="O157" s="19">
        <f t="shared" si="8"/>
        <v>0</v>
      </c>
      <c r="P157" s="19">
        <v>1</v>
      </c>
      <c r="Q157" s="19">
        <v>0</v>
      </c>
      <c r="R157" s="19">
        <v>0</v>
      </c>
      <c r="S157" s="19">
        <v>0</v>
      </c>
      <c r="T157" s="19">
        <v>0</v>
      </c>
      <c r="U157" t="s">
        <v>288</v>
      </c>
      <c r="V157" s="19">
        <v>158</v>
      </c>
      <c r="W157" s="20">
        <v>2.5737822438634601E-2</v>
      </c>
      <c r="X157" s="8"/>
    </row>
    <row r="158" spans="1:24" x14ac:dyDescent="0.25">
      <c r="A158" s="23" t="s">
        <v>1100</v>
      </c>
      <c r="B158" s="18" t="s">
        <v>289</v>
      </c>
      <c r="C158" s="18" t="s">
        <v>7</v>
      </c>
      <c r="D158" s="5" t="s">
        <v>22</v>
      </c>
      <c r="E158" s="19">
        <v>0</v>
      </c>
      <c r="F158" s="19">
        <v>0</v>
      </c>
      <c r="G158" s="19">
        <v>0</v>
      </c>
      <c r="H158" s="19">
        <v>0</v>
      </c>
      <c r="I158" s="19">
        <v>1</v>
      </c>
      <c r="J158" s="19">
        <v>1</v>
      </c>
      <c r="K158" s="19">
        <f t="shared" si="6"/>
        <v>0</v>
      </c>
      <c r="L158" s="19">
        <v>1</v>
      </c>
      <c r="M158" s="19">
        <f t="shared" si="7"/>
        <v>0</v>
      </c>
      <c r="N158" s="19">
        <v>1</v>
      </c>
      <c r="O158" s="19">
        <f t="shared" si="8"/>
        <v>0</v>
      </c>
      <c r="P158" s="19">
        <v>1</v>
      </c>
      <c r="Q158" s="19">
        <v>0</v>
      </c>
      <c r="R158" s="19">
        <v>0</v>
      </c>
      <c r="S158" s="19">
        <v>0</v>
      </c>
      <c r="T158" s="19">
        <v>0</v>
      </c>
      <c r="U158" t="s">
        <v>290</v>
      </c>
      <c r="V158" s="19">
        <v>159</v>
      </c>
      <c r="W158" s="20">
        <v>8.3271248184122407E-3</v>
      </c>
      <c r="X158" s="8"/>
    </row>
    <row r="159" spans="1:24" x14ac:dyDescent="0.25">
      <c r="A159" s="23" t="s">
        <v>1101</v>
      </c>
      <c r="B159" s="18" t="s">
        <v>291</v>
      </c>
      <c r="C159" s="18" t="s">
        <v>7</v>
      </c>
      <c r="D159" s="5" t="s">
        <v>22</v>
      </c>
      <c r="E159" s="19">
        <v>0</v>
      </c>
      <c r="F159" s="19">
        <v>0</v>
      </c>
      <c r="G159" s="19">
        <v>0</v>
      </c>
      <c r="H159" s="19">
        <v>0</v>
      </c>
      <c r="I159" s="19">
        <v>1</v>
      </c>
      <c r="J159" s="19">
        <v>1</v>
      </c>
      <c r="K159" s="19">
        <f t="shared" si="6"/>
        <v>0</v>
      </c>
      <c r="L159" s="19">
        <v>1</v>
      </c>
      <c r="M159" s="19">
        <f t="shared" si="7"/>
        <v>0</v>
      </c>
      <c r="N159" s="19">
        <v>1</v>
      </c>
      <c r="O159" s="19">
        <f t="shared" si="8"/>
        <v>0</v>
      </c>
      <c r="P159" s="19">
        <v>1</v>
      </c>
      <c r="Q159" s="19">
        <v>0</v>
      </c>
      <c r="R159" s="19">
        <v>0</v>
      </c>
      <c r="S159" s="19">
        <v>0</v>
      </c>
      <c r="T159" s="19">
        <v>1</v>
      </c>
      <c r="U159" t="s">
        <v>292</v>
      </c>
      <c r="V159" s="19">
        <v>160</v>
      </c>
      <c r="W159" s="20">
        <v>2.1108819265835799E-2</v>
      </c>
      <c r="X159" s="8"/>
    </row>
    <row r="160" spans="1:24" x14ac:dyDescent="0.25">
      <c r="A160" s="23" t="s">
        <v>1102</v>
      </c>
      <c r="B160" s="15" t="s">
        <v>271</v>
      </c>
      <c r="C160" s="15" t="s">
        <v>25</v>
      </c>
      <c r="D160" s="5" t="s">
        <v>22</v>
      </c>
      <c r="E160" s="16">
        <v>0</v>
      </c>
      <c r="F160" s="16">
        <v>0</v>
      </c>
      <c r="G160" s="16">
        <v>0</v>
      </c>
      <c r="H160" s="16">
        <v>1</v>
      </c>
      <c r="I160" s="16">
        <v>0</v>
      </c>
      <c r="J160" s="16">
        <v>0</v>
      </c>
      <c r="K160" s="16">
        <f t="shared" si="6"/>
        <v>0</v>
      </c>
      <c r="L160" s="16">
        <v>0</v>
      </c>
      <c r="M160" s="16">
        <f t="shared" si="7"/>
        <v>0</v>
      </c>
      <c r="N160" s="16">
        <v>0</v>
      </c>
      <c r="O160" s="16">
        <f t="shared" si="8"/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V160" s="16">
        <v>161</v>
      </c>
      <c r="W160" s="17">
        <v>0.4999445173688386</v>
      </c>
      <c r="X160" s="8"/>
    </row>
    <row r="161" spans="1:24" x14ac:dyDescent="0.25">
      <c r="A161" s="23" t="s">
        <v>1103</v>
      </c>
      <c r="B161" s="18" t="s">
        <v>293</v>
      </c>
      <c r="C161" s="18" t="s">
        <v>7</v>
      </c>
      <c r="D161" s="5" t="s">
        <v>22</v>
      </c>
      <c r="E161" s="19">
        <v>0</v>
      </c>
      <c r="F161" s="19">
        <v>0</v>
      </c>
      <c r="G161" s="19">
        <v>0</v>
      </c>
      <c r="H161" s="19">
        <v>0</v>
      </c>
      <c r="I161" s="19">
        <v>1</v>
      </c>
      <c r="J161" s="19">
        <v>1</v>
      </c>
      <c r="K161" s="19">
        <f t="shared" si="6"/>
        <v>0</v>
      </c>
      <c r="L161" s="19">
        <v>1</v>
      </c>
      <c r="M161" s="19">
        <f t="shared" si="7"/>
        <v>0</v>
      </c>
      <c r="N161" s="19">
        <v>1</v>
      </c>
      <c r="O161" s="19">
        <f t="shared" si="8"/>
        <v>0</v>
      </c>
      <c r="P161" s="19">
        <v>1</v>
      </c>
      <c r="Q161" s="19">
        <v>0</v>
      </c>
      <c r="R161" s="19">
        <v>0</v>
      </c>
      <c r="S161" s="19">
        <v>0</v>
      </c>
      <c r="T161" s="19">
        <v>0</v>
      </c>
      <c r="U161" t="s">
        <v>294</v>
      </c>
      <c r="V161" s="19">
        <v>162</v>
      </c>
      <c r="W161" s="20">
        <v>0.40582339758174502</v>
      </c>
      <c r="X161" s="8"/>
    </row>
    <row r="162" spans="1:24" x14ac:dyDescent="0.25">
      <c r="A162" s="23" t="s">
        <v>1104</v>
      </c>
      <c r="B162" s="18" t="s">
        <v>295</v>
      </c>
      <c r="C162" s="18" t="s">
        <v>7</v>
      </c>
      <c r="D162" s="5" t="s">
        <v>22</v>
      </c>
      <c r="E162" s="19">
        <v>0</v>
      </c>
      <c r="F162" s="19">
        <v>0</v>
      </c>
      <c r="G162" s="19">
        <v>0</v>
      </c>
      <c r="H162" s="19">
        <v>0</v>
      </c>
      <c r="I162" s="19">
        <v>1</v>
      </c>
      <c r="J162" s="19">
        <v>1</v>
      </c>
      <c r="K162" s="19">
        <f t="shared" si="6"/>
        <v>0</v>
      </c>
      <c r="L162" s="19">
        <v>1</v>
      </c>
      <c r="M162" s="19">
        <f t="shared" si="7"/>
        <v>0</v>
      </c>
      <c r="N162" s="19">
        <v>1</v>
      </c>
      <c r="O162" s="19">
        <f t="shared" si="8"/>
        <v>0</v>
      </c>
      <c r="P162" s="19">
        <v>1</v>
      </c>
      <c r="Q162" s="19">
        <v>0</v>
      </c>
      <c r="R162" s="19">
        <v>0</v>
      </c>
      <c r="S162" s="19">
        <v>0</v>
      </c>
      <c r="T162" s="19">
        <v>0</v>
      </c>
      <c r="U162" t="s">
        <v>296</v>
      </c>
      <c r="V162" s="19">
        <v>163</v>
      </c>
      <c r="W162" s="20">
        <v>6.8425117612135197E-2</v>
      </c>
      <c r="X162" s="8"/>
    </row>
    <row r="163" spans="1:24" x14ac:dyDescent="0.25">
      <c r="A163" s="23" t="s">
        <v>1105</v>
      </c>
      <c r="B163" s="18" t="s">
        <v>297</v>
      </c>
      <c r="C163" s="18" t="s">
        <v>7</v>
      </c>
      <c r="D163" s="5" t="s">
        <v>22</v>
      </c>
      <c r="E163" s="19">
        <v>0</v>
      </c>
      <c r="F163" s="19">
        <v>0</v>
      </c>
      <c r="G163" s="19">
        <v>0</v>
      </c>
      <c r="H163" s="19">
        <v>0</v>
      </c>
      <c r="I163" s="19">
        <v>1</v>
      </c>
      <c r="J163" s="19">
        <v>1</v>
      </c>
      <c r="K163" s="19">
        <f t="shared" si="6"/>
        <v>0</v>
      </c>
      <c r="L163" s="19">
        <v>1</v>
      </c>
      <c r="M163" s="19">
        <f t="shared" si="7"/>
        <v>0</v>
      </c>
      <c r="N163" s="19">
        <v>1</v>
      </c>
      <c r="O163" s="19">
        <f t="shared" si="8"/>
        <v>0</v>
      </c>
      <c r="P163" s="19">
        <v>1</v>
      </c>
      <c r="Q163" s="19">
        <v>0</v>
      </c>
      <c r="R163" s="19">
        <v>0</v>
      </c>
      <c r="S163" s="19">
        <v>0</v>
      </c>
      <c r="T163" s="19">
        <v>1</v>
      </c>
      <c r="U163" s="5" t="s">
        <v>298</v>
      </c>
      <c r="V163" s="19">
        <v>164</v>
      </c>
      <c r="W163" s="20">
        <v>2.5696002174958401E-2</v>
      </c>
      <c r="X163" s="8"/>
    </row>
    <row r="164" spans="1:24" x14ac:dyDescent="0.25">
      <c r="A164" s="23" t="s">
        <v>1106</v>
      </c>
      <c r="B164" s="9" t="s">
        <v>299</v>
      </c>
      <c r="C164" s="9" t="s">
        <v>4</v>
      </c>
      <c r="D164" s="5" t="s">
        <v>22</v>
      </c>
      <c r="E164" s="10">
        <v>0</v>
      </c>
      <c r="F164" s="10">
        <v>1</v>
      </c>
      <c r="G164" s="10">
        <v>0</v>
      </c>
      <c r="H164" s="10">
        <v>0</v>
      </c>
      <c r="I164" s="10">
        <v>0</v>
      </c>
      <c r="J164" s="10">
        <v>0</v>
      </c>
      <c r="K164" s="10">
        <f t="shared" si="6"/>
        <v>0</v>
      </c>
      <c r="L164" s="10">
        <v>0</v>
      </c>
      <c r="M164" s="10">
        <f t="shared" si="7"/>
        <v>0</v>
      </c>
      <c r="N164" s="10">
        <v>0</v>
      </c>
      <c r="O164" s="10">
        <f t="shared" si="8"/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/>
      <c r="V164" s="10">
        <v>165</v>
      </c>
      <c r="W164" s="11">
        <v>2.7913507387703516</v>
      </c>
      <c r="X164" s="8"/>
    </row>
    <row r="165" spans="1:24" x14ac:dyDescent="0.25">
      <c r="A165" s="23" t="s">
        <v>1107</v>
      </c>
      <c r="B165" s="12" t="s">
        <v>300</v>
      </c>
      <c r="C165" s="12" t="s">
        <v>5</v>
      </c>
      <c r="D165" s="5" t="s">
        <v>22</v>
      </c>
      <c r="E165" s="13">
        <v>0</v>
      </c>
      <c r="F165" s="13">
        <v>0</v>
      </c>
      <c r="G165" s="13">
        <v>1</v>
      </c>
      <c r="H165" s="13">
        <v>0</v>
      </c>
      <c r="I165" s="13">
        <v>0</v>
      </c>
      <c r="J165" s="13">
        <v>0</v>
      </c>
      <c r="K165" s="13">
        <f t="shared" si="6"/>
        <v>0</v>
      </c>
      <c r="L165" s="13">
        <v>0</v>
      </c>
      <c r="M165" s="13">
        <f t="shared" si="7"/>
        <v>0</v>
      </c>
      <c r="N165" s="13">
        <v>0</v>
      </c>
      <c r="O165" s="13">
        <f t="shared" si="8"/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/>
      <c r="V165" s="13">
        <v>166</v>
      </c>
      <c r="W165" s="14">
        <v>0.57634590934362639</v>
      </c>
      <c r="X165" s="8"/>
    </row>
    <row r="166" spans="1:24" x14ac:dyDescent="0.25">
      <c r="A166" s="23" t="s">
        <v>1108</v>
      </c>
      <c r="B166" s="15" t="s">
        <v>301</v>
      </c>
      <c r="C166" s="15" t="s">
        <v>25</v>
      </c>
      <c r="D166" s="5" t="s">
        <v>22</v>
      </c>
      <c r="E166" s="16">
        <v>0</v>
      </c>
      <c r="F166" s="16">
        <v>0</v>
      </c>
      <c r="G166" s="16">
        <v>0</v>
      </c>
      <c r="H166" s="16">
        <v>1</v>
      </c>
      <c r="I166" s="16">
        <v>0</v>
      </c>
      <c r="J166" s="16">
        <v>0</v>
      </c>
      <c r="K166" s="16">
        <f t="shared" si="6"/>
        <v>0</v>
      </c>
      <c r="L166" s="16">
        <v>0</v>
      </c>
      <c r="M166" s="16">
        <f t="shared" si="7"/>
        <v>0</v>
      </c>
      <c r="N166" s="16">
        <v>0</v>
      </c>
      <c r="O166" s="16">
        <f t="shared" si="8"/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/>
      <c r="V166" s="16">
        <v>167</v>
      </c>
      <c r="W166" s="17">
        <v>0.435334332943909</v>
      </c>
      <c r="X166" s="8"/>
    </row>
    <row r="167" spans="1:24" x14ac:dyDescent="0.25">
      <c r="A167" s="23" t="s">
        <v>1109</v>
      </c>
      <c r="B167" s="18" t="s">
        <v>301</v>
      </c>
      <c r="C167" s="18" t="s">
        <v>7</v>
      </c>
      <c r="D167" s="5" t="s">
        <v>22</v>
      </c>
      <c r="E167" s="19">
        <v>0</v>
      </c>
      <c r="F167" s="19">
        <v>0</v>
      </c>
      <c r="G167" s="19">
        <v>0</v>
      </c>
      <c r="H167" s="19">
        <v>0</v>
      </c>
      <c r="I167" s="19">
        <v>1</v>
      </c>
      <c r="J167" s="19">
        <v>1</v>
      </c>
      <c r="K167" s="19">
        <f t="shared" si="6"/>
        <v>0</v>
      </c>
      <c r="L167" s="19">
        <v>1</v>
      </c>
      <c r="M167" s="19">
        <f t="shared" si="7"/>
        <v>0</v>
      </c>
      <c r="N167" s="19">
        <v>1</v>
      </c>
      <c r="O167" s="19">
        <f t="shared" si="8"/>
        <v>0</v>
      </c>
      <c r="P167" s="19">
        <v>1</v>
      </c>
      <c r="Q167" s="19">
        <v>0</v>
      </c>
      <c r="R167" s="19">
        <v>0</v>
      </c>
      <c r="S167" s="19">
        <v>0</v>
      </c>
      <c r="T167" s="19">
        <v>0</v>
      </c>
      <c r="U167" t="s">
        <v>302</v>
      </c>
      <c r="V167" s="19">
        <v>168</v>
      </c>
      <c r="W167" s="20">
        <v>0.435334332943909</v>
      </c>
      <c r="X167" s="8"/>
    </row>
    <row r="168" spans="1:24" x14ac:dyDescent="0.25">
      <c r="A168" s="23" t="s">
        <v>1110</v>
      </c>
      <c r="B168" s="15" t="s">
        <v>303</v>
      </c>
      <c r="C168" s="15" t="s">
        <v>25</v>
      </c>
      <c r="D168" s="5" t="s">
        <v>22</v>
      </c>
      <c r="E168" s="16">
        <v>0</v>
      </c>
      <c r="F168" s="16">
        <v>0</v>
      </c>
      <c r="G168" s="16">
        <v>0</v>
      </c>
      <c r="H168" s="16">
        <v>1</v>
      </c>
      <c r="I168" s="16">
        <v>0</v>
      </c>
      <c r="J168" s="16">
        <v>0</v>
      </c>
      <c r="K168" s="16">
        <f t="shared" si="6"/>
        <v>0</v>
      </c>
      <c r="L168" s="16">
        <v>0</v>
      </c>
      <c r="M168" s="16">
        <f t="shared" si="7"/>
        <v>0</v>
      </c>
      <c r="N168" s="16">
        <v>0</v>
      </c>
      <c r="O168" s="16">
        <f t="shared" si="8"/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V168" s="16">
        <v>169</v>
      </c>
      <c r="W168" s="17">
        <v>0.1410115763997174</v>
      </c>
      <c r="X168" s="8"/>
    </row>
    <row r="169" spans="1:24" x14ac:dyDescent="0.25">
      <c r="A169" s="23" t="s">
        <v>1111</v>
      </c>
      <c r="B169" s="18" t="s">
        <v>304</v>
      </c>
      <c r="C169" s="18" t="s">
        <v>7</v>
      </c>
      <c r="D169" s="5" t="s">
        <v>22</v>
      </c>
      <c r="E169" s="19">
        <v>0</v>
      </c>
      <c r="F169" s="19">
        <v>0</v>
      </c>
      <c r="G169" s="19">
        <v>0</v>
      </c>
      <c r="H169" s="19">
        <v>0</v>
      </c>
      <c r="I169" s="19">
        <v>1</v>
      </c>
      <c r="J169" s="19">
        <v>1</v>
      </c>
      <c r="K169" s="19">
        <f t="shared" si="6"/>
        <v>0</v>
      </c>
      <c r="L169" s="19">
        <v>1</v>
      </c>
      <c r="M169" s="19">
        <f t="shared" si="7"/>
        <v>0</v>
      </c>
      <c r="N169" s="19">
        <v>1</v>
      </c>
      <c r="O169" s="19">
        <f t="shared" si="8"/>
        <v>0</v>
      </c>
      <c r="P169" s="19">
        <v>1</v>
      </c>
      <c r="Q169" s="19">
        <v>0</v>
      </c>
      <c r="R169" s="19">
        <v>0</v>
      </c>
      <c r="S169" s="19">
        <v>0</v>
      </c>
      <c r="T169" s="19">
        <v>0</v>
      </c>
      <c r="U169" t="s">
        <v>305</v>
      </c>
      <c r="V169" s="19">
        <v>170</v>
      </c>
      <c r="W169" s="20">
        <v>9.9538391326561101E-2</v>
      </c>
      <c r="X169" s="8"/>
    </row>
    <row r="170" spans="1:24" x14ac:dyDescent="0.25">
      <c r="A170" s="23" t="s">
        <v>1112</v>
      </c>
      <c r="B170" s="18" t="s">
        <v>306</v>
      </c>
      <c r="C170" s="18" t="s">
        <v>7</v>
      </c>
      <c r="D170" s="5" t="s">
        <v>22</v>
      </c>
      <c r="E170" s="19">
        <v>0</v>
      </c>
      <c r="F170" s="19">
        <v>0</v>
      </c>
      <c r="G170" s="19">
        <v>0</v>
      </c>
      <c r="H170" s="19">
        <v>0</v>
      </c>
      <c r="I170" s="19">
        <v>1</v>
      </c>
      <c r="J170" s="19">
        <v>1</v>
      </c>
      <c r="K170" s="19">
        <f t="shared" si="6"/>
        <v>0</v>
      </c>
      <c r="L170" s="19">
        <v>1</v>
      </c>
      <c r="M170" s="19">
        <f t="shared" si="7"/>
        <v>0</v>
      </c>
      <c r="N170" s="19">
        <v>1</v>
      </c>
      <c r="O170" s="19">
        <f t="shared" si="8"/>
        <v>0</v>
      </c>
      <c r="P170" s="19">
        <v>1</v>
      </c>
      <c r="Q170" s="19">
        <v>0</v>
      </c>
      <c r="R170" s="19">
        <v>0</v>
      </c>
      <c r="S170" s="19">
        <v>0</v>
      </c>
      <c r="T170" s="19">
        <v>0</v>
      </c>
      <c r="U170" t="s">
        <v>307</v>
      </c>
      <c r="V170" s="19">
        <v>171</v>
      </c>
      <c r="W170" s="20">
        <v>4.1473185073156303E-2</v>
      </c>
      <c r="X170" s="8"/>
    </row>
    <row r="171" spans="1:24" x14ac:dyDescent="0.25">
      <c r="A171" s="23" t="s">
        <v>1113</v>
      </c>
      <c r="B171" s="12" t="s">
        <v>308</v>
      </c>
      <c r="C171" s="12" t="s">
        <v>5</v>
      </c>
      <c r="D171" s="5" t="s">
        <v>22</v>
      </c>
      <c r="E171" s="13">
        <v>0</v>
      </c>
      <c r="F171" s="13">
        <v>0</v>
      </c>
      <c r="G171" s="13">
        <v>1</v>
      </c>
      <c r="H171" s="13">
        <v>0</v>
      </c>
      <c r="I171" s="13">
        <v>0</v>
      </c>
      <c r="J171" s="13">
        <v>0</v>
      </c>
      <c r="K171" s="13">
        <f t="shared" si="6"/>
        <v>0</v>
      </c>
      <c r="L171" s="13">
        <v>0</v>
      </c>
      <c r="M171" s="13">
        <f t="shared" si="7"/>
        <v>0</v>
      </c>
      <c r="N171" s="13">
        <v>0</v>
      </c>
      <c r="O171" s="13">
        <f t="shared" si="8"/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V171" s="13">
        <v>172</v>
      </c>
      <c r="W171" s="14">
        <v>2.2150048294267255</v>
      </c>
      <c r="X171" s="8"/>
    </row>
    <row r="172" spans="1:24" x14ac:dyDescent="0.25">
      <c r="A172" s="23" t="s">
        <v>1114</v>
      </c>
      <c r="B172" s="15" t="s">
        <v>309</v>
      </c>
      <c r="C172" s="15" t="s">
        <v>25</v>
      </c>
      <c r="D172" s="5" t="s">
        <v>22</v>
      </c>
      <c r="E172" s="16">
        <v>0</v>
      </c>
      <c r="F172" s="16">
        <v>0</v>
      </c>
      <c r="G172" s="16">
        <v>0</v>
      </c>
      <c r="H172" s="16">
        <v>1</v>
      </c>
      <c r="I172" s="16">
        <v>0</v>
      </c>
      <c r="J172" s="16">
        <v>0</v>
      </c>
      <c r="K172" s="16">
        <f t="shared" si="6"/>
        <v>0</v>
      </c>
      <c r="L172" s="16">
        <v>0</v>
      </c>
      <c r="M172" s="16">
        <f t="shared" si="7"/>
        <v>0</v>
      </c>
      <c r="N172" s="16">
        <v>0</v>
      </c>
      <c r="O172" s="16">
        <f t="shared" si="8"/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/>
      <c r="V172" s="16">
        <v>173</v>
      </c>
      <c r="W172" s="17">
        <v>0.71005829272662591</v>
      </c>
      <c r="X172" s="8"/>
    </row>
    <row r="173" spans="1:24" x14ac:dyDescent="0.25">
      <c r="A173" s="23" t="s">
        <v>1115</v>
      </c>
      <c r="B173" s="18" t="s">
        <v>309</v>
      </c>
      <c r="C173" s="18" t="s">
        <v>7</v>
      </c>
      <c r="D173" s="5" t="s">
        <v>22</v>
      </c>
      <c r="E173" s="19">
        <v>0</v>
      </c>
      <c r="F173" s="19">
        <v>0</v>
      </c>
      <c r="G173" s="19">
        <v>0</v>
      </c>
      <c r="H173" s="19">
        <v>0</v>
      </c>
      <c r="I173" s="19">
        <v>1</v>
      </c>
      <c r="J173" s="19">
        <v>1</v>
      </c>
      <c r="K173" s="19">
        <f t="shared" si="6"/>
        <v>0</v>
      </c>
      <c r="L173" s="19">
        <v>1</v>
      </c>
      <c r="M173" s="19">
        <f t="shared" si="7"/>
        <v>0</v>
      </c>
      <c r="N173" s="19">
        <v>1</v>
      </c>
      <c r="O173" s="19">
        <f t="shared" si="8"/>
        <v>0</v>
      </c>
      <c r="P173" s="19">
        <v>1</v>
      </c>
      <c r="Q173" s="19">
        <v>0</v>
      </c>
      <c r="R173" s="19">
        <v>0</v>
      </c>
      <c r="S173" s="19">
        <v>0</v>
      </c>
      <c r="T173" s="19">
        <v>0</v>
      </c>
      <c r="U173" t="s">
        <v>310</v>
      </c>
      <c r="V173" s="19">
        <v>174</v>
      </c>
      <c r="W173" s="20">
        <v>0.65795630687727402</v>
      </c>
      <c r="X173" s="8"/>
    </row>
    <row r="174" spans="1:24" x14ac:dyDescent="0.25">
      <c r="A174" s="23" t="s">
        <v>1116</v>
      </c>
      <c r="B174" s="18" t="s">
        <v>311</v>
      </c>
      <c r="C174" s="18" t="s">
        <v>7</v>
      </c>
      <c r="D174" s="5" t="s">
        <v>22</v>
      </c>
      <c r="E174" s="19">
        <v>0</v>
      </c>
      <c r="F174" s="19">
        <v>0</v>
      </c>
      <c r="G174" s="19">
        <v>0</v>
      </c>
      <c r="H174" s="19">
        <v>0</v>
      </c>
      <c r="I174" s="19">
        <v>1</v>
      </c>
      <c r="J174" s="19">
        <v>1</v>
      </c>
      <c r="K174" s="19">
        <f t="shared" si="6"/>
        <v>0</v>
      </c>
      <c r="L174" s="19">
        <v>1</v>
      </c>
      <c r="M174" s="19">
        <f t="shared" si="7"/>
        <v>0</v>
      </c>
      <c r="N174" s="19">
        <v>1</v>
      </c>
      <c r="O174" s="19">
        <f t="shared" si="8"/>
        <v>0</v>
      </c>
      <c r="P174" s="19">
        <v>1</v>
      </c>
      <c r="Q174" s="19">
        <v>0</v>
      </c>
      <c r="R174" s="19">
        <v>0</v>
      </c>
      <c r="S174" s="19">
        <v>0</v>
      </c>
      <c r="T174" s="19">
        <v>1</v>
      </c>
      <c r="U174" t="s">
        <v>312</v>
      </c>
      <c r="V174" s="19">
        <v>175</v>
      </c>
      <c r="W174" s="20">
        <v>5.2101985849351898E-2</v>
      </c>
      <c r="X174" s="8"/>
    </row>
    <row r="175" spans="1:24" x14ac:dyDescent="0.25">
      <c r="A175" s="23" t="s">
        <v>1117</v>
      </c>
      <c r="B175" s="15" t="s">
        <v>313</v>
      </c>
      <c r="C175" s="15" t="s">
        <v>25</v>
      </c>
      <c r="D175" s="5" t="s">
        <v>22</v>
      </c>
      <c r="E175" s="16">
        <v>0</v>
      </c>
      <c r="F175" s="16">
        <v>0</v>
      </c>
      <c r="G175" s="16">
        <v>0</v>
      </c>
      <c r="H175" s="16">
        <v>1</v>
      </c>
      <c r="I175" s="16">
        <v>0</v>
      </c>
      <c r="J175" s="16">
        <v>0</v>
      </c>
      <c r="K175" s="16">
        <f t="shared" si="6"/>
        <v>0</v>
      </c>
      <c r="L175" s="16">
        <v>0</v>
      </c>
      <c r="M175" s="16">
        <f t="shared" si="7"/>
        <v>0</v>
      </c>
      <c r="N175" s="16">
        <v>0</v>
      </c>
      <c r="O175" s="16">
        <f t="shared" si="8"/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V175" s="16">
        <v>176</v>
      </c>
      <c r="W175" s="17">
        <v>1.5049465367000998</v>
      </c>
      <c r="X175" s="8"/>
    </row>
    <row r="176" spans="1:24" x14ac:dyDescent="0.25">
      <c r="A176" s="23" t="s">
        <v>1118</v>
      </c>
      <c r="B176" s="18" t="s">
        <v>314</v>
      </c>
      <c r="C176" s="18" t="s">
        <v>7</v>
      </c>
      <c r="D176" s="5" t="s">
        <v>22</v>
      </c>
      <c r="E176" s="19">
        <v>0</v>
      </c>
      <c r="F176" s="19">
        <v>0</v>
      </c>
      <c r="G176" s="19">
        <v>0</v>
      </c>
      <c r="H176" s="19">
        <v>0</v>
      </c>
      <c r="I176" s="19">
        <v>1</v>
      </c>
      <c r="J176" s="19">
        <v>1</v>
      </c>
      <c r="K176" s="19">
        <f t="shared" si="6"/>
        <v>0</v>
      </c>
      <c r="L176" s="19">
        <v>1</v>
      </c>
      <c r="M176" s="19">
        <f t="shared" si="7"/>
        <v>0</v>
      </c>
      <c r="N176" s="19">
        <v>1</v>
      </c>
      <c r="O176" s="19">
        <f t="shared" si="8"/>
        <v>0</v>
      </c>
      <c r="P176" s="19">
        <v>1</v>
      </c>
      <c r="Q176" s="19">
        <v>0</v>
      </c>
      <c r="R176" s="19">
        <v>0</v>
      </c>
      <c r="S176" s="19">
        <v>0</v>
      </c>
      <c r="T176" s="19">
        <v>0</v>
      </c>
      <c r="U176" t="s">
        <v>315</v>
      </c>
      <c r="V176" s="19">
        <v>177</v>
      </c>
      <c r="W176" s="20">
        <v>0.88560077340564203</v>
      </c>
      <c r="X176" s="8"/>
    </row>
    <row r="177" spans="1:24" x14ac:dyDescent="0.25">
      <c r="A177" s="23" t="s">
        <v>1119</v>
      </c>
      <c r="B177" s="18" t="s">
        <v>316</v>
      </c>
      <c r="C177" s="18" t="s">
        <v>7</v>
      </c>
      <c r="D177" s="5" t="s">
        <v>22</v>
      </c>
      <c r="E177" s="19">
        <v>0</v>
      </c>
      <c r="F177" s="19">
        <v>0</v>
      </c>
      <c r="G177" s="19">
        <v>0</v>
      </c>
      <c r="H177" s="19">
        <v>0</v>
      </c>
      <c r="I177" s="19">
        <v>1</v>
      </c>
      <c r="J177" s="19">
        <v>1</v>
      </c>
      <c r="K177" s="19">
        <f t="shared" si="6"/>
        <v>0</v>
      </c>
      <c r="L177" s="19">
        <v>1</v>
      </c>
      <c r="M177" s="19">
        <f t="shared" si="7"/>
        <v>0</v>
      </c>
      <c r="N177" s="19">
        <v>1</v>
      </c>
      <c r="O177" s="19">
        <f t="shared" si="8"/>
        <v>0</v>
      </c>
      <c r="P177" s="19">
        <v>1</v>
      </c>
      <c r="Q177" s="19">
        <v>0</v>
      </c>
      <c r="R177" s="19">
        <v>0</v>
      </c>
      <c r="S177" s="19">
        <v>0</v>
      </c>
      <c r="T177" s="19">
        <v>0</v>
      </c>
      <c r="U177" t="s">
        <v>317</v>
      </c>
      <c r="V177" s="19">
        <v>178</v>
      </c>
      <c r="W177" s="20">
        <v>0.22335778518538699</v>
      </c>
      <c r="X177" s="8"/>
    </row>
    <row r="178" spans="1:24" x14ac:dyDescent="0.25">
      <c r="A178" s="23" t="s">
        <v>1120</v>
      </c>
      <c r="B178" s="18" t="s">
        <v>318</v>
      </c>
      <c r="C178" s="18" t="s">
        <v>7</v>
      </c>
      <c r="D178" s="5" t="s">
        <v>22</v>
      </c>
      <c r="E178" s="19">
        <v>0</v>
      </c>
      <c r="F178" s="19">
        <v>0</v>
      </c>
      <c r="G178" s="19">
        <v>0</v>
      </c>
      <c r="H178" s="19">
        <v>0</v>
      </c>
      <c r="I178" s="19">
        <v>1</v>
      </c>
      <c r="J178" s="19">
        <v>1</v>
      </c>
      <c r="K178" s="19">
        <f t="shared" si="6"/>
        <v>0</v>
      </c>
      <c r="L178" s="19">
        <v>1</v>
      </c>
      <c r="M178" s="19">
        <f t="shared" si="7"/>
        <v>0</v>
      </c>
      <c r="N178" s="19">
        <v>1</v>
      </c>
      <c r="O178" s="19">
        <f t="shared" si="8"/>
        <v>0</v>
      </c>
      <c r="P178" s="19">
        <v>1</v>
      </c>
      <c r="Q178" s="19">
        <v>0</v>
      </c>
      <c r="R178" s="19">
        <v>0</v>
      </c>
      <c r="S178" s="19">
        <v>0</v>
      </c>
      <c r="T178" s="19">
        <v>0</v>
      </c>
      <c r="U178" t="s">
        <v>319</v>
      </c>
      <c r="V178" s="19">
        <v>179</v>
      </c>
      <c r="W178" s="20">
        <v>5.3393740093743598E-2</v>
      </c>
      <c r="X178" s="8"/>
    </row>
    <row r="179" spans="1:24" x14ac:dyDescent="0.25">
      <c r="A179" s="23" t="s">
        <v>1121</v>
      </c>
      <c r="B179" s="18" t="s">
        <v>320</v>
      </c>
      <c r="C179" s="18" t="s">
        <v>7</v>
      </c>
      <c r="D179" s="5" t="s">
        <v>22</v>
      </c>
      <c r="E179" s="19">
        <v>0</v>
      </c>
      <c r="F179" s="19">
        <v>0</v>
      </c>
      <c r="G179" s="19">
        <v>0</v>
      </c>
      <c r="H179" s="19">
        <v>0</v>
      </c>
      <c r="I179" s="19">
        <v>1</v>
      </c>
      <c r="J179" s="19">
        <v>1</v>
      </c>
      <c r="K179" s="19">
        <f t="shared" si="6"/>
        <v>0</v>
      </c>
      <c r="L179" s="19">
        <v>1</v>
      </c>
      <c r="M179" s="19">
        <f t="shared" si="7"/>
        <v>0</v>
      </c>
      <c r="N179" s="19">
        <v>1</v>
      </c>
      <c r="O179" s="19">
        <f t="shared" si="8"/>
        <v>0</v>
      </c>
      <c r="P179" s="19">
        <v>1</v>
      </c>
      <c r="Q179" s="19">
        <v>0</v>
      </c>
      <c r="R179" s="19">
        <v>0</v>
      </c>
      <c r="S179" s="19">
        <v>0</v>
      </c>
      <c r="T179" s="19">
        <v>1</v>
      </c>
      <c r="U179" t="s">
        <v>321</v>
      </c>
      <c r="V179" s="19">
        <v>180</v>
      </c>
      <c r="W179" s="20">
        <v>0.34259423801532701</v>
      </c>
      <c r="X179" s="8"/>
    </row>
    <row r="180" spans="1:24" x14ac:dyDescent="0.25">
      <c r="A180" s="23" t="s">
        <v>1122</v>
      </c>
      <c r="B180" s="5" t="s">
        <v>322</v>
      </c>
      <c r="C180" s="5" t="s">
        <v>3</v>
      </c>
      <c r="D180" s="5" t="s">
        <v>322</v>
      </c>
      <c r="E180" s="6">
        <v>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f t="shared" si="6"/>
        <v>0</v>
      </c>
      <c r="L180" s="6">
        <v>0</v>
      </c>
      <c r="M180" s="6">
        <f t="shared" si="7"/>
        <v>0</v>
      </c>
      <c r="N180" s="6">
        <v>0</v>
      </c>
      <c r="O180" s="6">
        <f t="shared" si="8"/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V180" s="6">
        <v>181</v>
      </c>
      <c r="W180" s="7">
        <v>2.3590851481740955</v>
      </c>
      <c r="X180" s="8"/>
    </row>
    <row r="181" spans="1:24" x14ac:dyDescent="0.25">
      <c r="A181" s="23" t="s">
        <v>1123</v>
      </c>
      <c r="B181" s="9" t="s">
        <v>323</v>
      </c>
      <c r="C181" s="9" t="s">
        <v>4</v>
      </c>
      <c r="D181" s="5" t="s">
        <v>322</v>
      </c>
      <c r="E181" s="10">
        <v>0</v>
      </c>
      <c r="F181" s="10">
        <v>1</v>
      </c>
      <c r="G181" s="10">
        <v>0</v>
      </c>
      <c r="H181" s="10">
        <v>0</v>
      </c>
      <c r="I181" s="10">
        <v>0</v>
      </c>
      <c r="J181" s="10">
        <v>0</v>
      </c>
      <c r="K181" s="10">
        <f t="shared" si="6"/>
        <v>0</v>
      </c>
      <c r="L181" s="10">
        <v>0</v>
      </c>
      <c r="M181" s="10">
        <f t="shared" si="7"/>
        <v>0</v>
      </c>
      <c r="N181" s="10">
        <v>0</v>
      </c>
      <c r="O181" s="10">
        <f t="shared" si="8"/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V181" s="10">
        <v>182</v>
      </c>
      <c r="W181" s="11">
        <v>2.1397207415094526</v>
      </c>
      <c r="X181" s="8"/>
    </row>
    <row r="182" spans="1:24" x14ac:dyDescent="0.25">
      <c r="A182" s="23" t="s">
        <v>1124</v>
      </c>
      <c r="B182" s="12" t="s">
        <v>324</v>
      </c>
      <c r="C182" s="12" t="s">
        <v>5</v>
      </c>
      <c r="D182" s="5" t="s">
        <v>322</v>
      </c>
      <c r="E182" s="13">
        <v>0</v>
      </c>
      <c r="F182" s="13">
        <v>0</v>
      </c>
      <c r="G182" s="13">
        <v>1</v>
      </c>
      <c r="H182" s="13">
        <v>0</v>
      </c>
      <c r="I182" s="13">
        <v>0</v>
      </c>
      <c r="J182" s="13">
        <v>0</v>
      </c>
      <c r="K182" s="13">
        <f t="shared" si="6"/>
        <v>0</v>
      </c>
      <c r="L182" s="13">
        <v>0</v>
      </c>
      <c r="M182" s="13">
        <f t="shared" si="7"/>
        <v>0</v>
      </c>
      <c r="N182" s="13">
        <v>0</v>
      </c>
      <c r="O182" s="13">
        <f t="shared" si="8"/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V182" s="13">
        <v>183</v>
      </c>
      <c r="W182" s="14">
        <v>0.49473110752589267</v>
      </c>
      <c r="X182" s="8"/>
    </row>
    <row r="183" spans="1:24" x14ac:dyDescent="0.25">
      <c r="A183" s="23" t="s">
        <v>1125</v>
      </c>
      <c r="B183" s="15" t="s">
        <v>324</v>
      </c>
      <c r="C183" s="15" t="s">
        <v>25</v>
      </c>
      <c r="D183" s="5" t="s">
        <v>322</v>
      </c>
      <c r="E183" s="16">
        <v>0</v>
      </c>
      <c r="F183" s="16">
        <v>0</v>
      </c>
      <c r="G183" s="16">
        <v>0</v>
      </c>
      <c r="H183" s="16">
        <v>1</v>
      </c>
      <c r="I183" s="16">
        <v>0</v>
      </c>
      <c r="J183" s="16">
        <v>0</v>
      </c>
      <c r="K183" s="16">
        <f t="shared" si="6"/>
        <v>0</v>
      </c>
      <c r="L183" s="16">
        <v>0</v>
      </c>
      <c r="M183" s="16">
        <f t="shared" si="7"/>
        <v>0</v>
      </c>
      <c r="N183" s="16">
        <v>0</v>
      </c>
      <c r="O183" s="16">
        <f t="shared" si="8"/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V183" s="16">
        <v>184</v>
      </c>
      <c r="W183" s="17">
        <v>0.49473110752589267</v>
      </c>
      <c r="X183" s="8"/>
    </row>
    <row r="184" spans="1:24" x14ac:dyDescent="0.25">
      <c r="A184" s="23" t="s">
        <v>1126</v>
      </c>
      <c r="B184" s="18" t="s">
        <v>325</v>
      </c>
      <c r="C184" s="18" t="s">
        <v>7</v>
      </c>
      <c r="D184" s="5" t="s">
        <v>322</v>
      </c>
      <c r="E184" s="19">
        <v>0</v>
      </c>
      <c r="F184" s="19">
        <v>0</v>
      </c>
      <c r="G184" s="19">
        <v>0</v>
      </c>
      <c r="H184" s="19">
        <v>0</v>
      </c>
      <c r="I184" s="19">
        <v>1</v>
      </c>
      <c r="J184" s="19">
        <v>0</v>
      </c>
      <c r="K184" s="19">
        <f t="shared" si="6"/>
        <v>1</v>
      </c>
      <c r="L184" s="19">
        <v>1</v>
      </c>
      <c r="M184" s="19">
        <f t="shared" si="7"/>
        <v>0</v>
      </c>
      <c r="N184" s="19">
        <v>1</v>
      </c>
      <c r="O184" s="19">
        <f t="shared" si="8"/>
        <v>0</v>
      </c>
      <c r="P184" s="19">
        <v>0</v>
      </c>
      <c r="Q184" s="19">
        <v>0</v>
      </c>
      <c r="R184" s="19">
        <v>0</v>
      </c>
      <c r="S184" s="19">
        <v>1</v>
      </c>
      <c r="T184" s="19">
        <v>0</v>
      </c>
      <c r="U184" t="s">
        <v>326</v>
      </c>
      <c r="V184" s="19">
        <v>185</v>
      </c>
      <c r="W184" s="20">
        <v>8.6697136755271798E-2</v>
      </c>
      <c r="X184" s="8"/>
    </row>
    <row r="185" spans="1:24" x14ac:dyDescent="0.25">
      <c r="A185" s="23" t="s">
        <v>1127</v>
      </c>
      <c r="B185" s="18" t="s">
        <v>327</v>
      </c>
      <c r="C185" s="18" t="s">
        <v>7</v>
      </c>
      <c r="D185" s="5" t="s">
        <v>322</v>
      </c>
      <c r="E185" s="19">
        <v>0</v>
      </c>
      <c r="F185" s="19">
        <v>0</v>
      </c>
      <c r="G185" s="19">
        <v>0</v>
      </c>
      <c r="H185" s="19">
        <v>0</v>
      </c>
      <c r="I185" s="19">
        <v>1</v>
      </c>
      <c r="J185" s="19">
        <v>0</v>
      </c>
      <c r="K185" s="19">
        <f t="shared" si="6"/>
        <v>1</v>
      </c>
      <c r="L185" s="19">
        <v>1</v>
      </c>
      <c r="M185" s="19">
        <f t="shared" si="7"/>
        <v>0</v>
      </c>
      <c r="N185" s="19">
        <v>1</v>
      </c>
      <c r="O185" s="19">
        <f t="shared" si="8"/>
        <v>0</v>
      </c>
      <c r="P185" s="19">
        <v>0</v>
      </c>
      <c r="Q185" s="19">
        <v>0</v>
      </c>
      <c r="R185" s="19">
        <v>0</v>
      </c>
      <c r="S185" s="19">
        <v>1</v>
      </c>
      <c r="T185" s="19">
        <v>0</v>
      </c>
      <c r="U185" t="s">
        <v>328</v>
      </c>
      <c r="V185" s="19">
        <v>186</v>
      </c>
      <c r="W185" s="20">
        <v>0.27856712595170602</v>
      </c>
      <c r="X185" s="8"/>
    </row>
    <row r="186" spans="1:24" x14ac:dyDescent="0.25">
      <c r="A186" s="23" t="s">
        <v>1128</v>
      </c>
      <c r="B186" s="18" t="s">
        <v>329</v>
      </c>
      <c r="C186" s="18" t="s">
        <v>7</v>
      </c>
      <c r="D186" s="5" t="s">
        <v>322</v>
      </c>
      <c r="E186" s="19">
        <v>0</v>
      </c>
      <c r="F186" s="19">
        <v>0</v>
      </c>
      <c r="G186" s="19">
        <v>0</v>
      </c>
      <c r="H186" s="19">
        <v>0</v>
      </c>
      <c r="I186" s="19">
        <v>1</v>
      </c>
      <c r="J186" s="19">
        <v>0</v>
      </c>
      <c r="K186" s="19">
        <f t="shared" si="6"/>
        <v>1</v>
      </c>
      <c r="L186" s="19">
        <v>1</v>
      </c>
      <c r="M186" s="19">
        <f t="shared" si="7"/>
        <v>0</v>
      </c>
      <c r="N186" s="19">
        <v>1</v>
      </c>
      <c r="O186" s="19">
        <f t="shared" si="8"/>
        <v>0</v>
      </c>
      <c r="P186" s="19">
        <v>0</v>
      </c>
      <c r="Q186" s="19">
        <v>0</v>
      </c>
      <c r="R186" s="19">
        <v>0</v>
      </c>
      <c r="S186" s="19">
        <v>1</v>
      </c>
      <c r="T186" s="19">
        <v>0</v>
      </c>
      <c r="U186" t="s">
        <v>330</v>
      </c>
      <c r="V186" s="19">
        <v>187</v>
      </c>
      <c r="W186" s="20">
        <v>6.1470233490582803E-2</v>
      </c>
      <c r="X186" s="8"/>
    </row>
    <row r="187" spans="1:24" x14ac:dyDescent="0.25">
      <c r="A187" s="23" t="s">
        <v>1129</v>
      </c>
      <c r="B187" s="18" t="s">
        <v>331</v>
      </c>
      <c r="C187" s="18" t="s">
        <v>7</v>
      </c>
      <c r="D187" s="5" t="s">
        <v>322</v>
      </c>
      <c r="E187" s="19">
        <v>0</v>
      </c>
      <c r="F187" s="19">
        <v>0</v>
      </c>
      <c r="G187" s="19">
        <v>0</v>
      </c>
      <c r="H187" s="19">
        <v>0</v>
      </c>
      <c r="I187" s="19">
        <v>1</v>
      </c>
      <c r="J187" s="19">
        <v>0</v>
      </c>
      <c r="K187" s="19">
        <f t="shared" si="6"/>
        <v>1</v>
      </c>
      <c r="L187" s="19">
        <v>1</v>
      </c>
      <c r="M187" s="19">
        <f t="shared" si="7"/>
        <v>0</v>
      </c>
      <c r="N187" s="19">
        <v>1</v>
      </c>
      <c r="O187" s="19">
        <f t="shared" si="8"/>
        <v>0</v>
      </c>
      <c r="P187" s="19">
        <v>0</v>
      </c>
      <c r="Q187" s="19">
        <v>0</v>
      </c>
      <c r="R187" s="19">
        <v>0</v>
      </c>
      <c r="S187" s="19">
        <v>1</v>
      </c>
      <c r="T187" s="19">
        <v>0</v>
      </c>
      <c r="U187" t="s">
        <v>332</v>
      </c>
      <c r="V187" s="19">
        <v>188</v>
      </c>
      <c r="W187" s="20">
        <v>6.7996611328332096E-2</v>
      </c>
      <c r="X187" s="8"/>
    </row>
    <row r="188" spans="1:24" x14ac:dyDescent="0.25">
      <c r="A188" s="23" t="s">
        <v>1130</v>
      </c>
      <c r="B188" s="12" t="s">
        <v>333</v>
      </c>
      <c r="C188" s="12" t="s">
        <v>5</v>
      </c>
      <c r="D188" s="5" t="s">
        <v>322</v>
      </c>
      <c r="E188" s="13">
        <v>0</v>
      </c>
      <c r="F188" s="13">
        <v>0</v>
      </c>
      <c r="G188" s="13">
        <v>1</v>
      </c>
      <c r="H188" s="13">
        <v>0</v>
      </c>
      <c r="I188" s="13">
        <v>0</v>
      </c>
      <c r="J188" s="13">
        <v>0</v>
      </c>
      <c r="K188" s="13">
        <f t="shared" si="6"/>
        <v>0</v>
      </c>
      <c r="L188" s="13">
        <v>0</v>
      </c>
      <c r="M188" s="13">
        <f t="shared" si="7"/>
        <v>0</v>
      </c>
      <c r="N188" s="13">
        <v>0</v>
      </c>
      <c r="O188" s="13">
        <f t="shared" si="8"/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V188" s="13">
        <v>189</v>
      </c>
      <c r="W188" s="14">
        <v>0.12123530338446099</v>
      </c>
      <c r="X188" s="8"/>
    </row>
    <row r="189" spans="1:24" x14ac:dyDescent="0.25">
      <c r="A189" s="23" t="s">
        <v>1131</v>
      </c>
      <c r="B189" s="15" t="s">
        <v>334</v>
      </c>
      <c r="C189" s="15" t="s">
        <v>25</v>
      </c>
      <c r="D189" s="5" t="s">
        <v>322</v>
      </c>
      <c r="E189" s="16">
        <v>0</v>
      </c>
      <c r="F189" s="16">
        <v>0</v>
      </c>
      <c r="G189" s="16">
        <v>0</v>
      </c>
      <c r="H189" s="16">
        <v>1</v>
      </c>
      <c r="I189" s="16">
        <v>0</v>
      </c>
      <c r="J189" s="16">
        <v>0</v>
      </c>
      <c r="K189" s="16">
        <f t="shared" si="6"/>
        <v>0</v>
      </c>
      <c r="L189" s="16">
        <v>0</v>
      </c>
      <c r="M189" s="16">
        <f t="shared" si="7"/>
        <v>0</v>
      </c>
      <c r="N189" s="16">
        <v>0</v>
      </c>
      <c r="O189" s="16">
        <f t="shared" si="8"/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V189" s="16">
        <v>190</v>
      </c>
      <c r="W189" s="17">
        <v>0.12123530338446099</v>
      </c>
      <c r="X189" s="8"/>
    </row>
    <row r="190" spans="1:24" x14ac:dyDescent="0.25">
      <c r="A190" s="23" t="s">
        <v>1132</v>
      </c>
      <c r="B190" s="18" t="s">
        <v>333</v>
      </c>
      <c r="C190" s="18" t="s">
        <v>7</v>
      </c>
      <c r="D190" s="5" t="s">
        <v>322</v>
      </c>
      <c r="E190" s="19">
        <v>0</v>
      </c>
      <c r="F190" s="19">
        <v>0</v>
      </c>
      <c r="G190" s="19">
        <v>0</v>
      </c>
      <c r="H190" s="19">
        <v>0</v>
      </c>
      <c r="I190" s="19">
        <v>1</v>
      </c>
      <c r="J190" s="19">
        <v>0</v>
      </c>
      <c r="K190" s="19">
        <f t="shared" si="6"/>
        <v>1</v>
      </c>
      <c r="L190" s="19">
        <v>1</v>
      </c>
      <c r="M190" s="19">
        <f t="shared" si="7"/>
        <v>0</v>
      </c>
      <c r="N190" s="19">
        <v>1</v>
      </c>
      <c r="O190" s="19">
        <f t="shared" si="8"/>
        <v>0</v>
      </c>
      <c r="P190" s="19">
        <v>0</v>
      </c>
      <c r="Q190" s="19">
        <v>0</v>
      </c>
      <c r="R190" s="19">
        <v>0</v>
      </c>
      <c r="S190" s="19">
        <v>1</v>
      </c>
      <c r="T190" s="19">
        <v>0</v>
      </c>
      <c r="U190" t="s">
        <v>335</v>
      </c>
      <c r="V190" s="19">
        <v>191</v>
      </c>
      <c r="W190" s="20">
        <v>0.12123530338446099</v>
      </c>
      <c r="X190" s="8"/>
    </row>
    <row r="191" spans="1:24" x14ac:dyDescent="0.25">
      <c r="A191" s="23" t="s">
        <v>1133</v>
      </c>
      <c r="B191" s="12" t="s">
        <v>336</v>
      </c>
      <c r="C191" s="12" t="s">
        <v>5</v>
      </c>
      <c r="D191" s="5" t="s">
        <v>322</v>
      </c>
      <c r="E191" s="13">
        <v>0</v>
      </c>
      <c r="F191" s="13">
        <v>0</v>
      </c>
      <c r="G191" s="13">
        <v>1</v>
      </c>
      <c r="H191" s="13">
        <v>0</v>
      </c>
      <c r="I191" s="13">
        <v>0</v>
      </c>
      <c r="J191" s="13">
        <v>0</v>
      </c>
      <c r="K191" s="13">
        <f t="shared" si="6"/>
        <v>0</v>
      </c>
      <c r="L191" s="13">
        <v>0</v>
      </c>
      <c r="M191" s="13">
        <f t="shared" si="7"/>
        <v>0</v>
      </c>
      <c r="N191" s="13">
        <v>0</v>
      </c>
      <c r="O191" s="13">
        <f t="shared" si="8"/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V191" s="13">
        <v>192</v>
      </c>
      <c r="W191" s="14">
        <v>1.523754330599099</v>
      </c>
      <c r="X191" s="8"/>
    </row>
    <row r="192" spans="1:24" x14ac:dyDescent="0.25">
      <c r="A192" s="23" t="s">
        <v>1134</v>
      </c>
      <c r="B192" s="15" t="s">
        <v>336</v>
      </c>
      <c r="C192" s="15" t="s">
        <v>25</v>
      </c>
      <c r="D192" s="5" t="s">
        <v>322</v>
      </c>
      <c r="E192" s="16">
        <v>0</v>
      </c>
      <c r="F192" s="16">
        <v>0</v>
      </c>
      <c r="G192" s="16">
        <v>0</v>
      </c>
      <c r="H192" s="16">
        <v>1</v>
      </c>
      <c r="I192" s="16">
        <v>0</v>
      </c>
      <c r="J192" s="16">
        <v>0</v>
      </c>
      <c r="K192" s="16">
        <f t="shared" si="6"/>
        <v>0</v>
      </c>
      <c r="L192" s="16">
        <v>0</v>
      </c>
      <c r="M192" s="16">
        <f t="shared" si="7"/>
        <v>0</v>
      </c>
      <c r="N192" s="16">
        <v>0</v>
      </c>
      <c r="O192" s="16">
        <f t="shared" si="8"/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V192" s="16">
        <v>193</v>
      </c>
      <c r="W192" s="17">
        <v>1.523754330599099</v>
      </c>
      <c r="X192" s="8"/>
    </row>
    <row r="193" spans="1:24" x14ac:dyDescent="0.25">
      <c r="A193" s="23" t="s">
        <v>1135</v>
      </c>
      <c r="B193" s="18" t="s">
        <v>337</v>
      </c>
      <c r="C193" s="18" t="s">
        <v>7</v>
      </c>
      <c r="D193" s="5" t="s">
        <v>322</v>
      </c>
      <c r="E193" s="19">
        <v>0</v>
      </c>
      <c r="F193" s="19">
        <v>0</v>
      </c>
      <c r="G193" s="19">
        <v>0</v>
      </c>
      <c r="H193" s="19">
        <v>0</v>
      </c>
      <c r="I193" s="19">
        <v>1</v>
      </c>
      <c r="J193" s="19">
        <v>0</v>
      </c>
      <c r="K193" s="19">
        <f t="shared" ref="K193:K256" si="9">IF(I193=1,IF(J193=1,0,1),0)</f>
        <v>1</v>
      </c>
      <c r="L193" s="19">
        <v>1</v>
      </c>
      <c r="M193" s="19">
        <f t="shared" ref="M193:M256" si="10">IF(I193=1,IF(L193=1,0,1),0)</f>
        <v>0</v>
      </c>
      <c r="N193" s="19">
        <v>1</v>
      </c>
      <c r="O193" s="19">
        <f t="shared" ref="O193:O256" si="11">IF(I193=1,IF(N193=1,0,1),0)</f>
        <v>0</v>
      </c>
      <c r="P193" s="19">
        <v>0</v>
      </c>
      <c r="Q193" s="19">
        <v>0</v>
      </c>
      <c r="R193" s="19">
        <v>0</v>
      </c>
      <c r="S193" s="19">
        <v>1</v>
      </c>
      <c r="T193" s="19">
        <v>0</v>
      </c>
      <c r="U193" t="s">
        <v>338</v>
      </c>
      <c r="V193" s="19">
        <v>194</v>
      </c>
      <c r="W193" s="20">
        <v>1.3130560710728201</v>
      </c>
      <c r="X193" s="8"/>
    </row>
    <row r="194" spans="1:24" x14ac:dyDescent="0.25">
      <c r="A194" s="23" t="s">
        <v>1136</v>
      </c>
      <c r="B194" s="18" t="s">
        <v>339</v>
      </c>
      <c r="C194" s="18" t="s">
        <v>7</v>
      </c>
      <c r="D194" s="5" t="s">
        <v>322</v>
      </c>
      <c r="E194" s="19">
        <v>0</v>
      </c>
      <c r="F194" s="19">
        <v>0</v>
      </c>
      <c r="G194" s="19">
        <v>0</v>
      </c>
      <c r="H194" s="19">
        <v>0</v>
      </c>
      <c r="I194" s="19">
        <v>1</v>
      </c>
      <c r="J194" s="19">
        <v>0</v>
      </c>
      <c r="K194" s="19">
        <f t="shared" si="9"/>
        <v>1</v>
      </c>
      <c r="L194" s="19">
        <v>1</v>
      </c>
      <c r="M194" s="19">
        <f t="shared" si="10"/>
        <v>0</v>
      </c>
      <c r="N194" s="19">
        <v>1</v>
      </c>
      <c r="O194" s="19">
        <f t="shared" si="11"/>
        <v>0</v>
      </c>
      <c r="P194" s="19">
        <v>0</v>
      </c>
      <c r="Q194" s="19">
        <v>0</v>
      </c>
      <c r="R194" s="19">
        <v>0</v>
      </c>
      <c r="S194" s="19">
        <v>1</v>
      </c>
      <c r="T194" s="19">
        <v>0</v>
      </c>
      <c r="U194" t="s">
        <v>340</v>
      </c>
      <c r="V194" s="19">
        <v>195</v>
      </c>
      <c r="W194" s="20">
        <v>0.21069825952627899</v>
      </c>
      <c r="X194" s="8"/>
    </row>
    <row r="195" spans="1:24" x14ac:dyDescent="0.25">
      <c r="A195" s="23" t="s">
        <v>1137</v>
      </c>
      <c r="B195" s="9" t="s">
        <v>341</v>
      </c>
      <c r="C195" s="9" t="s">
        <v>4</v>
      </c>
      <c r="D195" s="5" t="s">
        <v>322</v>
      </c>
      <c r="E195" s="10">
        <v>0</v>
      </c>
      <c r="F195" s="10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f t="shared" si="9"/>
        <v>0</v>
      </c>
      <c r="L195" s="10">
        <v>0</v>
      </c>
      <c r="M195" s="10">
        <f t="shared" si="10"/>
        <v>0</v>
      </c>
      <c r="N195" s="10">
        <v>0</v>
      </c>
      <c r="O195" s="10">
        <f t="shared" si="11"/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/>
      <c r="V195" s="10">
        <v>196</v>
      </c>
      <c r="W195" s="11">
        <v>0.21936440666464299</v>
      </c>
      <c r="X195" s="8"/>
    </row>
    <row r="196" spans="1:24" x14ac:dyDescent="0.25">
      <c r="A196" s="23" t="s">
        <v>1138</v>
      </c>
      <c r="B196" s="12" t="s">
        <v>341</v>
      </c>
      <c r="C196" s="12" t="s">
        <v>5</v>
      </c>
      <c r="D196" s="5" t="s">
        <v>322</v>
      </c>
      <c r="E196" s="13">
        <v>0</v>
      </c>
      <c r="F196" s="13">
        <v>0</v>
      </c>
      <c r="G196" s="13">
        <v>1</v>
      </c>
      <c r="H196" s="13">
        <v>0</v>
      </c>
      <c r="I196" s="13">
        <v>0</v>
      </c>
      <c r="J196" s="13">
        <v>0</v>
      </c>
      <c r="K196" s="13">
        <f t="shared" si="9"/>
        <v>0</v>
      </c>
      <c r="L196" s="13">
        <v>0</v>
      </c>
      <c r="M196" s="13">
        <f t="shared" si="10"/>
        <v>0</v>
      </c>
      <c r="N196" s="13">
        <v>0</v>
      </c>
      <c r="O196" s="13">
        <f t="shared" si="11"/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V196" s="13">
        <v>197</v>
      </c>
      <c r="W196" s="14">
        <v>0.21936440666464299</v>
      </c>
      <c r="X196" s="8"/>
    </row>
    <row r="197" spans="1:24" x14ac:dyDescent="0.25">
      <c r="A197" s="23" t="s">
        <v>1139</v>
      </c>
      <c r="B197" s="15" t="s">
        <v>342</v>
      </c>
      <c r="C197" s="15" t="s">
        <v>25</v>
      </c>
      <c r="D197" s="5" t="s">
        <v>322</v>
      </c>
      <c r="E197" s="16">
        <v>0</v>
      </c>
      <c r="F197" s="16">
        <v>0</v>
      </c>
      <c r="G197" s="16">
        <v>0</v>
      </c>
      <c r="H197" s="16">
        <v>1</v>
      </c>
      <c r="I197" s="16">
        <v>0</v>
      </c>
      <c r="J197" s="16">
        <v>0</v>
      </c>
      <c r="K197" s="16">
        <f t="shared" si="9"/>
        <v>0</v>
      </c>
      <c r="L197" s="16">
        <v>0</v>
      </c>
      <c r="M197" s="16">
        <f t="shared" si="10"/>
        <v>0</v>
      </c>
      <c r="N197" s="16">
        <v>0</v>
      </c>
      <c r="O197" s="16">
        <f t="shared" si="11"/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V197" s="16">
        <v>198</v>
      </c>
      <c r="W197" s="17">
        <v>0.21936440666464299</v>
      </c>
      <c r="X197" s="8"/>
    </row>
    <row r="198" spans="1:24" x14ac:dyDescent="0.25">
      <c r="A198" s="23" t="s">
        <v>1140</v>
      </c>
      <c r="B198" s="18" t="s">
        <v>343</v>
      </c>
      <c r="C198" s="18" t="s">
        <v>7</v>
      </c>
      <c r="D198" s="5" t="s">
        <v>322</v>
      </c>
      <c r="E198" s="19">
        <v>0</v>
      </c>
      <c r="F198" s="19">
        <v>0</v>
      </c>
      <c r="G198" s="19">
        <v>0</v>
      </c>
      <c r="H198" s="19">
        <v>0</v>
      </c>
      <c r="I198" s="19">
        <v>1</v>
      </c>
      <c r="J198" s="19">
        <v>0</v>
      </c>
      <c r="K198" s="19">
        <f t="shared" si="9"/>
        <v>1</v>
      </c>
      <c r="L198" s="19">
        <v>1</v>
      </c>
      <c r="M198" s="19">
        <f t="shared" si="10"/>
        <v>0</v>
      </c>
      <c r="N198" s="19">
        <v>1</v>
      </c>
      <c r="O198" s="19">
        <f t="shared" si="11"/>
        <v>0</v>
      </c>
      <c r="P198" s="19">
        <v>0</v>
      </c>
      <c r="Q198" s="19">
        <v>0</v>
      </c>
      <c r="R198" s="19">
        <v>0</v>
      </c>
      <c r="S198" s="19">
        <v>1</v>
      </c>
      <c r="T198" s="19">
        <v>0</v>
      </c>
      <c r="U198" t="s">
        <v>344</v>
      </c>
      <c r="V198" s="19">
        <v>199</v>
      </c>
      <c r="W198" s="20">
        <v>0.21936440666464299</v>
      </c>
      <c r="X198" s="8"/>
    </row>
    <row r="199" spans="1:24" x14ac:dyDescent="0.25">
      <c r="A199" s="23" t="s">
        <v>1141</v>
      </c>
      <c r="B199" s="5" t="s">
        <v>345</v>
      </c>
      <c r="C199" s="5" t="s">
        <v>3</v>
      </c>
      <c r="D199" s="5" t="s">
        <v>345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f t="shared" si="9"/>
        <v>0</v>
      </c>
      <c r="L199" s="6">
        <v>0</v>
      </c>
      <c r="M199" s="6">
        <f t="shared" si="10"/>
        <v>0</v>
      </c>
      <c r="N199" s="6">
        <v>0</v>
      </c>
      <c r="O199" s="6">
        <f t="shared" si="11"/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V199" s="6">
        <v>200</v>
      </c>
      <c r="W199" s="7">
        <v>4.1869516880778672</v>
      </c>
      <c r="X199" s="8"/>
    </row>
    <row r="200" spans="1:24" x14ac:dyDescent="0.25">
      <c r="A200" s="23" t="s">
        <v>1142</v>
      </c>
      <c r="B200" s="9" t="s">
        <v>346</v>
      </c>
      <c r="C200" s="9" t="s">
        <v>4</v>
      </c>
      <c r="D200" s="5" t="s">
        <v>345</v>
      </c>
      <c r="E200" s="10">
        <v>0</v>
      </c>
      <c r="F200" s="10">
        <v>1</v>
      </c>
      <c r="G200" s="10">
        <v>0</v>
      </c>
      <c r="H200" s="10">
        <v>0</v>
      </c>
      <c r="I200" s="10">
        <v>0</v>
      </c>
      <c r="J200" s="10">
        <v>0</v>
      </c>
      <c r="K200" s="10">
        <f t="shared" si="9"/>
        <v>0</v>
      </c>
      <c r="L200" s="10">
        <v>0</v>
      </c>
      <c r="M200" s="10">
        <f t="shared" si="10"/>
        <v>0</v>
      </c>
      <c r="N200" s="10">
        <v>0</v>
      </c>
      <c r="O200" s="10">
        <f t="shared" si="11"/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V200" s="10">
        <v>201</v>
      </c>
      <c r="W200" s="11">
        <v>2.912370327727956</v>
      </c>
      <c r="X200" s="8"/>
    </row>
    <row r="201" spans="1:24" x14ac:dyDescent="0.25">
      <c r="A201" s="23" t="s">
        <v>1143</v>
      </c>
      <c r="B201" s="12" t="s">
        <v>347</v>
      </c>
      <c r="C201" s="12" t="s">
        <v>5</v>
      </c>
      <c r="D201" s="5" t="s">
        <v>345</v>
      </c>
      <c r="E201" s="13">
        <v>0</v>
      </c>
      <c r="F201" s="13">
        <v>0</v>
      </c>
      <c r="G201" s="13">
        <v>1</v>
      </c>
      <c r="H201" s="13">
        <v>0</v>
      </c>
      <c r="I201" s="13">
        <v>0</v>
      </c>
      <c r="J201" s="13">
        <v>0</v>
      </c>
      <c r="K201" s="13">
        <f t="shared" si="9"/>
        <v>0</v>
      </c>
      <c r="L201" s="13">
        <v>0</v>
      </c>
      <c r="M201" s="13">
        <f t="shared" si="10"/>
        <v>0</v>
      </c>
      <c r="N201" s="13">
        <v>0</v>
      </c>
      <c r="O201" s="13">
        <f t="shared" si="11"/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/>
      <c r="V201" s="13">
        <v>202</v>
      </c>
      <c r="W201" s="14">
        <v>2.6880314805826657</v>
      </c>
      <c r="X201" s="8"/>
    </row>
    <row r="202" spans="1:24" x14ac:dyDescent="0.25">
      <c r="A202" s="23" t="s">
        <v>1144</v>
      </c>
      <c r="B202" s="15" t="s">
        <v>348</v>
      </c>
      <c r="C202" s="15" t="s">
        <v>25</v>
      </c>
      <c r="D202" s="5" t="s">
        <v>345</v>
      </c>
      <c r="E202" s="16">
        <v>0</v>
      </c>
      <c r="F202" s="16">
        <v>0</v>
      </c>
      <c r="G202" s="16">
        <v>0</v>
      </c>
      <c r="H202" s="16">
        <v>1</v>
      </c>
      <c r="I202" s="16">
        <v>0</v>
      </c>
      <c r="J202" s="16">
        <v>0</v>
      </c>
      <c r="K202" s="16">
        <f t="shared" si="9"/>
        <v>0</v>
      </c>
      <c r="L202" s="16">
        <v>0</v>
      </c>
      <c r="M202" s="16">
        <f t="shared" si="10"/>
        <v>0</v>
      </c>
      <c r="N202" s="16">
        <v>0</v>
      </c>
      <c r="O202" s="16">
        <f t="shared" si="11"/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V202" s="16">
        <v>203</v>
      </c>
      <c r="W202" s="17">
        <v>1.0244813955485457</v>
      </c>
      <c r="X202" s="8"/>
    </row>
    <row r="203" spans="1:24" x14ac:dyDescent="0.25">
      <c r="A203" s="23" t="s">
        <v>1145</v>
      </c>
      <c r="B203" s="18" t="s">
        <v>349</v>
      </c>
      <c r="C203" s="18" t="s">
        <v>7</v>
      </c>
      <c r="D203" s="5" t="s">
        <v>345</v>
      </c>
      <c r="E203" s="19">
        <v>0</v>
      </c>
      <c r="F203" s="19">
        <v>0</v>
      </c>
      <c r="G203" s="19">
        <v>0</v>
      </c>
      <c r="H203" s="19">
        <v>0</v>
      </c>
      <c r="I203" s="19">
        <v>1</v>
      </c>
      <c r="J203" s="19">
        <v>1</v>
      </c>
      <c r="K203" s="19">
        <f t="shared" si="9"/>
        <v>0</v>
      </c>
      <c r="L203" s="19">
        <v>1</v>
      </c>
      <c r="M203" s="19">
        <f t="shared" si="10"/>
        <v>0</v>
      </c>
      <c r="N203" s="19">
        <v>1</v>
      </c>
      <c r="O203" s="19">
        <f t="shared" si="11"/>
        <v>0</v>
      </c>
      <c r="P203" s="19">
        <v>0</v>
      </c>
      <c r="Q203" s="19">
        <v>0</v>
      </c>
      <c r="R203" s="19">
        <v>0</v>
      </c>
      <c r="S203" s="19">
        <v>1</v>
      </c>
      <c r="T203" s="19">
        <v>0</v>
      </c>
      <c r="U203" t="s">
        <v>350</v>
      </c>
      <c r="V203" s="19">
        <v>204</v>
      </c>
      <c r="W203" s="20">
        <v>0.458229776246801</v>
      </c>
      <c r="X203" s="8"/>
    </row>
    <row r="204" spans="1:24" x14ac:dyDescent="0.25">
      <c r="A204" s="23" t="s">
        <v>1146</v>
      </c>
      <c r="B204" s="18" t="s">
        <v>351</v>
      </c>
      <c r="C204" s="18" t="s">
        <v>7</v>
      </c>
      <c r="D204" s="5" t="s">
        <v>345</v>
      </c>
      <c r="E204" s="19">
        <v>0</v>
      </c>
      <c r="F204" s="19">
        <v>0</v>
      </c>
      <c r="G204" s="19">
        <v>0</v>
      </c>
      <c r="H204" s="19">
        <v>0</v>
      </c>
      <c r="I204" s="19">
        <v>1</v>
      </c>
      <c r="J204" s="19">
        <v>1</v>
      </c>
      <c r="K204" s="19">
        <f t="shared" si="9"/>
        <v>0</v>
      </c>
      <c r="L204" s="19">
        <v>1</v>
      </c>
      <c r="M204" s="19">
        <f t="shared" si="10"/>
        <v>0</v>
      </c>
      <c r="N204" s="19">
        <v>1</v>
      </c>
      <c r="O204" s="19">
        <f t="shared" si="11"/>
        <v>0</v>
      </c>
      <c r="P204" s="19">
        <v>0</v>
      </c>
      <c r="Q204" s="19">
        <v>0</v>
      </c>
      <c r="R204" s="19">
        <v>0</v>
      </c>
      <c r="S204" s="19">
        <v>1</v>
      </c>
      <c r="T204" s="19">
        <v>0</v>
      </c>
      <c r="U204" t="s">
        <v>352</v>
      </c>
      <c r="V204" s="19">
        <v>205</v>
      </c>
      <c r="W204" s="20">
        <v>0.25336792298387001</v>
      </c>
      <c r="X204" s="8"/>
    </row>
    <row r="205" spans="1:24" x14ac:dyDescent="0.25">
      <c r="A205" s="23" t="s">
        <v>1147</v>
      </c>
      <c r="B205" s="18" t="s">
        <v>353</v>
      </c>
      <c r="C205" s="18" t="s">
        <v>7</v>
      </c>
      <c r="D205" s="5" t="s">
        <v>345</v>
      </c>
      <c r="E205" s="19">
        <v>0</v>
      </c>
      <c r="F205" s="19">
        <v>0</v>
      </c>
      <c r="G205" s="19">
        <v>0</v>
      </c>
      <c r="H205" s="19">
        <v>0</v>
      </c>
      <c r="I205" s="19">
        <v>1</v>
      </c>
      <c r="J205" s="19">
        <v>1</v>
      </c>
      <c r="K205" s="19">
        <f t="shared" si="9"/>
        <v>0</v>
      </c>
      <c r="L205" s="19">
        <v>1</v>
      </c>
      <c r="M205" s="19">
        <f t="shared" si="10"/>
        <v>0</v>
      </c>
      <c r="N205" s="19">
        <v>1</v>
      </c>
      <c r="O205" s="19">
        <f t="shared" si="11"/>
        <v>0</v>
      </c>
      <c r="P205" s="19">
        <v>0</v>
      </c>
      <c r="Q205" s="19">
        <v>0</v>
      </c>
      <c r="R205" s="19">
        <v>0</v>
      </c>
      <c r="S205" s="19">
        <v>1</v>
      </c>
      <c r="T205" s="19">
        <v>0</v>
      </c>
      <c r="U205" t="s">
        <v>354</v>
      </c>
      <c r="V205" s="19">
        <v>206</v>
      </c>
      <c r="W205" s="20">
        <v>0.14597723878706401</v>
      </c>
      <c r="X205" s="8"/>
    </row>
    <row r="206" spans="1:24" x14ac:dyDescent="0.25">
      <c r="A206" s="23" t="s">
        <v>1148</v>
      </c>
      <c r="B206" s="18" t="s">
        <v>355</v>
      </c>
      <c r="C206" s="18" t="s">
        <v>7</v>
      </c>
      <c r="D206" s="5" t="s">
        <v>345</v>
      </c>
      <c r="E206" s="19">
        <v>0</v>
      </c>
      <c r="F206" s="19">
        <v>0</v>
      </c>
      <c r="G206" s="19">
        <v>0</v>
      </c>
      <c r="H206" s="19">
        <v>0</v>
      </c>
      <c r="I206" s="19">
        <v>1</v>
      </c>
      <c r="J206" s="19">
        <v>1</v>
      </c>
      <c r="K206" s="19">
        <f t="shared" si="9"/>
        <v>0</v>
      </c>
      <c r="L206" s="19">
        <v>1</v>
      </c>
      <c r="M206" s="19">
        <f t="shared" si="10"/>
        <v>0</v>
      </c>
      <c r="N206" s="19">
        <v>1</v>
      </c>
      <c r="O206" s="19">
        <f t="shared" si="11"/>
        <v>0</v>
      </c>
      <c r="P206" s="19">
        <v>0</v>
      </c>
      <c r="Q206" s="19">
        <v>0</v>
      </c>
      <c r="R206" s="19">
        <v>0</v>
      </c>
      <c r="S206" s="19">
        <v>1</v>
      </c>
      <c r="T206" s="19">
        <v>0</v>
      </c>
      <c r="U206" t="s">
        <v>356</v>
      </c>
      <c r="V206" s="19">
        <v>207</v>
      </c>
      <c r="W206" s="20">
        <v>6.4286479401840901E-2</v>
      </c>
      <c r="X206" s="8"/>
    </row>
    <row r="207" spans="1:24" x14ac:dyDescent="0.25">
      <c r="A207" s="23" t="s">
        <v>1149</v>
      </c>
      <c r="B207" s="18" t="s">
        <v>357</v>
      </c>
      <c r="C207" s="18" t="s">
        <v>7</v>
      </c>
      <c r="D207" s="5" t="s">
        <v>345</v>
      </c>
      <c r="E207" s="19">
        <v>0</v>
      </c>
      <c r="F207" s="19">
        <v>0</v>
      </c>
      <c r="G207" s="19">
        <v>0</v>
      </c>
      <c r="H207" s="19">
        <v>0</v>
      </c>
      <c r="I207" s="19">
        <v>1</v>
      </c>
      <c r="J207" s="19">
        <v>1</v>
      </c>
      <c r="K207" s="19">
        <f t="shared" si="9"/>
        <v>0</v>
      </c>
      <c r="L207" s="19">
        <v>1</v>
      </c>
      <c r="M207" s="19">
        <f t="shared" si="10"/>
        <v>0</v>
      </c>
      <c r="N207" s="19">
        <v>1</v>
      </c>
      <c r="O207" s="19">
        <f t="shared" si="11"/>
        <v>0</v>
      </c>
      <c r="P207" s="19">
        <v>0</v>
      </c>
      <c r="Q207" s="19">
        <v>0</v>
      </c>
      <c r="R207" s="19">
        <v>0</v>
      </c>
      <c r="S207" s="19">
        <v>1</v>
      </c>
      <c r="T207" s="19">
        <v>0</v>
      </c>
      <c r="U207" t="s">
        <v>358</v>
      </c>
      <c r="V207" s="19">
        <v>208</v>
      </c>
      <c r="W207" s="20">
        <v>6.8633586062220198E-2</v>
      </c>
      <c r="X207" s="8"/>
    </row>
    <row r="208" spans="1:24" x14ac:dyDescent="0.25">
      <c r="A208" s="23" t="s">
        <v>1150</v>
      </c>
      <c r="B208" s="18" t="s">
        <v>359</v>
      </c>
      <c r="C208" s="18" t="s">
        <v>7</v>
      </c>
      <c r="D208" s="5" t="s">
        <v>345</v>
      </c>
      <c r="E208" s="19">
        <v>0</v>
      </c>
      <c r="F208" s="19">
        <v>0</v>
      </c>
      <c r="G208" s="19">
        <v>0</v>
      </c>
      <c r="H208" s="19">
        <v>0</v>
      </c>
      <c r="I208" s="19">
        <v>1</v>
      </c>
      <c r="J208" s="19">
        <v>0</v>
      </c>
      <c r="K208" s="19">
        <f t="shared" si="9"/>
        <v>1</v>
      </c>
      <c r="L208" s="19">
        <v>1</v>
      </c>
      <c r="M208" s="19">
        <f t="shared" si="10"/>
        <v>0</v>
      </c>
      <c r="N208" s="19">
        <v>1</v>
      </c>
      <c r="O208" s="19">
        <f t="shared" si="11"/>
        <v>0</v>
      </c>
      <c r="P208" s="19">
        <v>0</v>
      </c>
      <c r="Q208" s="19">
        <v>0</v>
      </c>
      <c r="R208" s="19">
        <v>0</v>
      </c>
      <c r="S208" s="19">
        <v>1</v>
      </c>
      <c r="T208" s="19">
        <v>1</v>
      </c>
      <c r="U208" t="s">
        <v>360</v>
      </c>
      <c r="V208" s="19">
        <v>209</v>
      </c>
      <c r="W208" s="20">
        <v>3.3986392066749499E-2</v>
      </c>
      <c r="X208" s="8"/>
    </row>
    <row r="209" spans="1:24" x14ac:dyDescent="0.25">
      <c r="A209" s="23" t="s">
        <v>1151</v>
      </c>
      <c r="B209" s="15" t="s">
        <v>361</v>
      </c>
      <c r="C209" s="15" t="s">
        <v>25</v>
      </c>
      <c r="D209" s="5" t="s">
        <v>345</v>
      </c>
      <c r="E209" s="16">
        <v>0</v>
      </c>
      <c r="F209" s="16">
        <v>0</v>
      </c>
      <c r="G209" s="16">
        <v>0</v>
      </c>
      <c r="H209" s="16">
        <v>1</v>
      </c>
      <c r="I209" s="16">
        <v>0</v>
      </c>
      <c r="J209" s="16">
        <v>0</v>
      </c>
      <c r="K209" s="16">
        <f t="shared" si="9"/>
        <v>0</v>
      </c>
      <c r="L209" s="16">
        <v>0</v>
      </c>
      <c r="M209" s="16">
        <f t="shared" si="10"/>
        <v>0</v>
      </c>
      <c r="N209" s="16">
        <v>0</v>
      </c>
      <c r="O209" s="16">
        <f t="shared" si="11"/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V209" s="16">
        <v>210</v>
      </c>
      <c r="W209" s="17">
        <v>1.019479445001833</v>
      </c>
      <c r="X209" s="8"/>
    </row>
    <row r="210" spans="1:24" x14ac:dyDescent="0.25">
      <c r="A210" s="23" t="s">
        <v>1152</v>
      </c>
      <c r="B210" s="18" t="s">
        <v>362</v>
      </c>
      <c r="C210" s="18" t="s">
        <v>7</v>
      </c>
      <c r="D210" s="5" t="s">
        <v>345</v>
      </c>
      <c r="E210" s="19">
        <v>0</v>
      </c>
      <c r="F210" s="19">
        <v>0</v>
      </c>
      <c r="G210" s="19">
        <v>0</v>
      </c>
      <c r="H210" s="19">
        <v>0</v>
      </c>
      <c r="I210" s="19">
        <v>1</v>
      </c>
      <c r="J210" s="19">
        <v>1</v>
      </c>
      <c r="K210" s="19">
        <f t="shared" si="9"/>
        <v>0</v>
      </c>
      <c r="L210" s="19">
        <v>1</v>
      </c>
      <c r="M210" s="19">
        <f t="shared" si="10"/>
        <v>0</v>
      </c>
      <c r="N210" s="19">
        <v>1</v>
      </c>
      <c r="O210" s="19">
        <f t="shared" si="11"/>
        <v>0</v>
      </c>
      <c r="P210" s="19">
        <v>0</v>
      </c>
      <c r="Q210" s="19">
        <v>0</v>
      </c>
      <c r="R210" s="19">
        <v>0</v>
      </c>
      <c r="S210" s="19">
        <v>1</v>
      </c>
      <c r="T210" s="19">
        <v>0</v>
      </c>
      <c r="U210" t="s">
        <v>363</v>
      </c>
      <c r="V210" s="19">
        <v>211</v>
      </c>
      <c r="W210" s="20">
        <v>1.73099627805515E-2</v>
      </c>
      <c r="X210" s="8"/>
    </row>
    <row r="211" spans="1:24" x14ac:dyDescent="0.25">
      <c r="A211" s="23" t="s">
        <v>1153</v>
      </c>
      <c r="B211" s="18" t="s">
        <v>364</v>
      </c>
      <c r="C211" s="18" t="s">
        <v>7</v>
      </c>
      <c r="D211" s="5" t="s">
        <v>345</v>
      </c>
      <c r="E211" s="19">
        <v>0</v>
      </c>
      <c r="F211" s="19">
        <v>0</v>
      </c>
      <c r="G211" s="19">
        <v>0</v>
      </c>
      <c r="H211" s="19">
        <v>0</v>
      </c>
      <c r="I211" s="19">
        <v>1</v>
      </c>
      <c r="J211" s="19">
        <v>1</v>
      </c>
      <c r="K211" s="19">
        <f t="shared" si="9"/>
        <v>0</v>
      </c>
      <c r="L211" s="19">
        <v>1</v>
      </c>
      <c r="M211" s="19">
        <f t="shared" si="10"/>
        <v>0</v>
      </c>
      <c r="N211" s="19">
        <v>1</v>
      </c>
      <c r="O211" s="19">
        <f t="shared" si="11"/>
        <v>0</v>
      </c>
      <c r="P211" s="19">
        <v>0</v>
      </c>
      <c r="Q211" s="19">
        <v>0</v>
      </c>
      <c r="R211" s="19">
        <v>0</v>
      </c>
      <c r="S211" s="19">
        <v>1</v>
      </c>
      <c r="T211" s="19">
        <v>0</v>
      </c>
      <c r="U211" t="s">
        <v>365</v>
      </c>
      <c r="V211" s="19">
        <v>212</v>
      </c>
      <c r="W211" s="20">
        <v>0.28497206736358699</v>
      </c>
      <c r="X211" s="8"/>
    </row>
    <row r="212" spans="1:24" x14ac:dyDescent="0.25">
      <c r="A212" s="23" t="s">
        <v>1154</v>
      </c>
      <c r="B212" s="18" t="s">
        <v>366</v>
      </c>
      <c r="C212" s="18" t="s">
        <v>7</v>
      </c>
      <c r="D212" s="5" t="s">
        <v>345</v>
      </c>
      <c r="E212" s="19">
        <v>0</v>
      </c>
      <c r="F212" s="19">
        <v>0</v>
      </c>
      <c r="G212" s="19">
        <v>0</v>
      </c>
      <c r="H212" s="19">
        <v>0</v>
      </c>
      <c r="I212" s="19">
        <v>1</v>
      </c>
      <c r="J212" s="19">
        <v>1</v>
      </c>
      <c r="K212" s="19">
        <f t="shared" si="9"/>
        <v>0</v>
      </c>
      <c r="L212" s="19">
        <v>1</v>
      </c>
      <c r="M212" s="19">
        <f t="shared" si="10"/>
        <v>0</v>
      </c>
      <c r="N212" s="19">
        <v>1</v>
      </c>
      <c r="O212" s="19">
        <f t="shared" si="11"/>
        <v>0</v>
      </c>
      <c r="P212" s="19">
        <v>0</v>
      </c>
      <c r="Q212" s="19">
        <v>0</v>
      </c>
      <c r="R212" s="19">
        <v>0</v>
      </c>
      <c r="S212" s="19">
        <v>1</v>
      </c>
      <c r="T212" s="19">
        <v>0</v>
      </c>
      <c r="U212" t="s">
        <v>367</v>
      </c>
      <c r="V212" s="19">
        <v>213</v>
      </c>
      <c r="W212" s="20">
        <v>0.38466801991412602</v>
      </c>
      <c r="X212" s="8"/>
    </row>
    <row r="213" spans="1:24" x14ac:dyDescent="0.25">
      <c r="A213" s="23" t="s">
        <v>1155</v>
      </c>
      <c r="B213" s="18" t="s">
        <v>368</v>
      </c>
      <c r="C213" s="18" t="s">
        <v>7</v>
      </c>
      <c r="D213" s="5" t="s">
        <v>345</v>
      </c>
      <c r="E213" s="19">
        <v>0</v>
      </c>
      <c r="F213" s="19">
        <v>0</v>
      </c>
      <c r="G213" s="19">
        <v>0</v>
      </c>
      <c r="H213" s="19">
        <v>0</v>
      </c>
      <c r="I213" s="19">
        <v>1</v>
      </c>
      <c r="J213" s="19">
        <v>1</v>
      </c>
      <c r="K213" s="19">
        <f t="shared" si="9"/>
        <v>0</v>
      </c>
      <c r="L213" s="19">
        <v>1</v>
      </c>
      <c r="M213" s="19">
        <f t="shared" si="10"/>
        <v>0</v>
      </c>
      <c r="N213" s="19">
        <v>1</v>
      </c>
      <c r="O213" s="19">
        <f t="shared" si="11"/>
        <v>0</v>
      </c>
      <c r="P213" s="19">
        <v>0</v>
      </c>
      <c r="Q213" s="19">
        <v>0</v>
      </c>
      <c r="R213" s="19">
        <v>0</v>
      </c>
      <c r="S213" s="19">
        <v>1</v>
      </c>
      <c r="T213" s="19">
        <v>0</v>
      </c>
      <c r="U213" t="s">
        <v>369</v>
      </c>
      <c r="V213" s="19">
        <v>214</v>
      </c>
      <c r="W213" s="20">
        <v>5.4837639428544298E-2</v>
      </c>
      <c r="X213" s="8"/>
    </row>
    <row r="214" spans="1:24" x14ac:dyDescent="0.25">
      <c r="A214" s="23" t="s">
        <v>1156</v>
      </c>
      <c r="B214" s="18" t="s">
        <v>370</v>
      </c>
      <c r="C214" s="18" t="s">
        <v>7</v>
      </c>
      <c r="D214" s="5" t="s">
        <v>345</v>
      </c>
      <c r="E214" s="19">
        <v>0</v>
      </c>
      <c r="F214" s="19">
        <v>0</v>
      </c>
      <c r="G214" s="19">
        <v>0</v>
      </c>
      <c r="H214" s="19">
        <v>0</v>
      </c>
      <c r="I214" s="19">
        <v>1</v>
      </c>
      <c r="J214" s="19">
        <v>1</v>
      </c>
      <c r="K214" s="19">
        <f t="shared" si="9"/>
        <v>0</v>
      </c>
      <c r="L214" s="19">
        <v>1</v>
      </c>
      <c r="M214" s="19">
        <f t="shared" si="10"/>
        <v>0</v>
      </c>
      <c r="N214" s="19">
        <v>1</v>
      </c>
      <c r="O214" s="19">
        <f t="shared" si="11"/>
        <v>0</v>
      </c>
      <c r="P214" s="19">
        <v>0</v>
      </c>
      <c r="Q214" s="19">
        <v>0</v>
      </c>
      <c r="R214" s="19">
        <v>0</v>
      </c>
      <c r="S214" s="19">
        <v>1</v>
      </c>
      <c r="T214" s="19">
        <v>0</v>
      </c>
      <c r="U214" t="s">
        <v>371</v>
      </c>
      <c r="V214" s="19">
        <v>215</v>
      </c>
      <c r="W214" s="20">
        <v>0.144473925498177</v>
      </c>
      <c r="X214" s="8"/>
    </row>
    <row r="215" spans="1:24" x14ac:dyDescent="0.25">
      <c r="A215" s="23" t="s">
        <v>1157</v>
      </c>
      <c r="B215" s="18" t="s">
        <v>372</v>
      </c>
      <c r="C215" s="18" t="s">
        <v>7</v>
      </c>
      <c r="D215" s="5" t="s">
        <v>345</v>
      </c>
      <c r="E215" s="19">
        <v>0</v>
      </c>
      <c r="F215" s="19">
        <v>0</v>
      </c>
      <c r="G215" s="19">
        <v>0</v>
      </c>
      <c r="H215" s="19">
        <v>0</v>
      </c>
      <c r="I215" s="19">
        <v>1</v>
      </c>
      <c r="J215" s="19">
        <v>1</v>
      </c>
      <c r="K215" s="19">
        <f t="shared" si="9"/>
        <v>0</v>
      </c>
      <c r="L215" s="19">
        <v>1</v>
      </c>
      <c r="M215" s="19">
        <f t="shared" si="10"/>
        <v>0</v>
      </c>
      <c r="N215" s="19">
        <v>1</v>
      </c>
      <c r="O215" s="19">
        <f t="shared" si="11"/>
        <v>0</v>
      </c>
      <c r="P215" s="19">
        <v>0</v>
      </c>
      <c r="Q215" s="19">
        <v>0</v>
      </c>
      <c r="R215" s="19">
        <v>0</v>
      </c>
      <c r="S215" s="19">
        <v>1</v>
      </c>
      <c r="T215" s="19">
        <v>0</v>
      </c>
      <c r="U215" t="s">
        <v>373</v>
      </c>
      <c r="V215" s="19">
        <v>216</v>
      </c>
      <c r="W215" s="20">
        <v>5.4695364536050603E-2</v>
      </c>
      <c r="X215" s="8"/>
    </row>
    <row r="216" spans="1:24" x14ac:dyDescent="0.25">
      <c r="A216" s="23" t="s">
        <v>1158</v>
      </c>
      <c r="B216" s="18" t="s">
        <v>374</v>
      </c>
      <c r="C216" s="18" t="s">
        <v>7</v>
      </c>
      <c r="D216" s="5" t="s">
        <v>345</v>
      </c>
      <c r="E216" s="19">
        <v>0</v>
      </c>
      <c r="F216" s="19">
        <v>0</v>
      </c>
      <c r="G216" s="19">
        <v>0</v>
      </c>
      <c r="H216" s="19">
        <v>0</v>
      </c>
      <c r="I216" s="19">
        <v>1</v>
      </c>
      <c r="J216" s="19">
        <v>1</v>
      </c>
      <c r="K216" s="19">
        <f t="shared" si="9"/>
        <v>0</v>
      </c>
      <c r="L216" s="19">
        <v>1</v>
      </c>
      <c r="M216" s="19">
        <f t="shared" si="10"/>
        <v>0</v>
      </c>
      <c r="N216" s="19">
        <v>1</v>
      </c>
      <c r="O216" s="19">
        <f t="shared" si="11"/>
        <v>0</v>
      </c>
      <c r="P216" s="19">
        <v>0</v>
      </c>
      <c r="Q216" s="19">
        <v>0</v>
      </c>
      <c r="R216" s="19">
        <v>0</v>
      </c>
      <c r="S216" s="19">
        <v>1</v>
      </c>
      <c r="T216" s="19">
        <v>0</v>
      </c>
      <c r="U216" t="s">
        <v>375</v>
      </c>
      <c r="V216" s="19">
        <v>217</v>
      </c>
      <c r="W216" s="20">
        <v>4.9167556466856499E-2</v>
      </c>
      <c r="X216" s="8"/>
    </row>
    <row r="217" spans="1:24" x14ac:dyDescent="0.25">
      <c r="A217" s="23" t="s">
        <v>1159</v>
      </c>
      <c r="B217" s="18" t="s">
        <v>376</v>
      </c>
      <c r="C217" s="18" t="s">
        <v>7</v>
      </c>
      <c r="D217" s="5" t="s">
        <v>345</v>
      </c>
      <c r="E217" s="19">
        <v>0</v>
      </c>
      <c r="F217" s="19">
        <v>0</v>
      </c>
      <c r="G217" s="19">
        <v>0</v>
      </c>
      <c r="H217" s="19">
        <v>0</v>
      </c>
      <c r="I217" s="19">
        <v>1</v>
      </c>
      <c r="J217" s="19">
        <v>1</v>
      </c>
      <c r="K217" s="19">
        <f t="shared" si="9"/>
        <v>0</v>
      </c>
      <c r="L217" s="19">
        <v>1</v>
      </c>
      <c r="M217" s="19">
        <f t="shared" si="10"/>
        <v>0</v>
      </c>
      <c r="N217" s="19">
        <v>1</v>
      </c>
      <c r="O217" s="19">
        <f t="shared" si="11"/>
        <v>0</v>
      </c>
      <c r="P217" s="19">
        <v>0</v>
      </c>
      <c r="Q217" s="19">
        <v>0</v>
      </c>
      <c r="R217" s="19">
        <v>0</v>
      </c>
      <c r="S217" s="19">
        <v>1</v>
      </c>
      <c r="T217" s="19">
        <v>1</v>
      </c>
      <c r="U217" t="s">
        <v>377</v>
      </c>
      <c r="V217" s="19">
        <v>218</v>
      </c>
      <c r="W217" s="20">
        <v>2.935490901394E-2</v>
      </c>
      <c r="X217" s="8"/>
    </row>
    <row r="218" spans="1:24" x14ac:dyDescent="0.25">
      <c r="A218" s="23" t="s">
        <v>1160</v>
      </c>
      <c r="B218" s="15" t="s">
        <v>378</v>
      </c>
      <c r="C218" s="15" t="s">
        <v>25</v>
      </c>
      <c r="D218" s="5" t="s">
        <v>345</v>
      </c>
      <c r="E218" s="16">
        <v>0</v>
      </c>
      <c r="F218" s="16">
        <v>0</v>
      </c>
      <c r="G218" s="16">
        <v>0</v>
      </c>
      <c r="H218" s="16">
        <v>1</v>
      </c>
      <c r="I218" s="16">
        <v>0</v>
      </c>
      <c r="J218" s="16">
        <v>0</v>
      </c>
      <c r="K218" s="16">
        <f t="shared" si="9"/>
        <v>0</v>
      </c>
      <c r="L218" s="16">
        <v>0</v>
      </c>
      <c r="M218" s="16">
        <f t="shared" si="10"/>
        <v>0</v>
      </c>
      <c r="N218" s="16">
        <v>0</v>
      </c>
      <c r="O218" s="16">
        <f t="shared" si="11"/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V218" s="16">
        <v>219</v>
      </c>
      <c r="W218" s="17">
        <v>0.64407064003228653</v>
      </c>
      <c r="X218" s="8"/>
    </row>
    <row r="219" spans="1:24" x14ac:dyDescent="0.25">
      <c r="A219" s="23" t="s">
        <v>1161</v>
      </c>
      <c r="B219" s="18" t="s">
        <v>379</v>
      </c>
      <c r="C219" s="18" t="s">
        <v>7</v>
      </c>
      <c r="D219" s="5" t="s">
        <v>345</v>
      </c>
      <c r="E219" s="19">
        <v>0</v>
      </c>
      <c r="F219" s="19">
        <v>0</v>
      </c>
      <c r="G219" s="19">
        <v>0</v>
      </c>
      <c r="H219" s="19">
        <v>0</v>
      </c>
      <c r="I219" s="19">
        <v>1</v>
      </c>
      <c r="J219" s="19">
        <v>1</v>
      </c>
      <c r="K219" s="19">
        <f t="shared" si="9"/>
        <v>0</v>
      </c>
      <c r="L219" s="19">
        <v>1</v>
      </c>
      <c r="M219" s="19">
        <f t="shared" si="10"/>
        <v>0</v>
      </c>
      <c r="N219" s="19">
        <v>1</v>
      </c>
      <c r="O219" s="19">
        <f t="shared" si="11"/>
        <v>0</v>
      </c>
      <c r="P219" s="19">
        <v>0</v>
      </c>
      <c r="Q219" s="19">
        <v>0</v>
      </c>
      <c r="R219" s="19">
        <v>0</v>
      </c>
      <c r="S219" s="19">
        <v>1</v>
      </c>
      <c r="T219" s="19">
        <v>0</v>
      </c>
      <c r="U219" t="s">
        <v>380</v>
      </c>
      <c r="V219" s="19">
        <v>220</v>
      </c>
      <c r="W219" s="20">
        <v>5.1625873384351102E-2</v>
      </c>
      <c r="X219" s="8"/>
    </row>
    <row r="220" spans="1:24" x14ac:dyDescent="0.25">
      <c r="A220" s="23" t="s">
        <v>1162</v>
      </c>
      <c r="B220" s="18" t="s">
        <v>381</v>
      </c>
      <c r="C220" s="18" t="s">
        <v>7</v>
      </c>
      <c r="D220" s="5" t="s">
        <v>345</v>
      </c>
      <c r="E220" s="19">
        <v>0</v>
      </c>
      <c r="F220" s="19">
        <v>0</v>
      </c>
      <c r="G220" s="19">
        <v>0</v>
      </c>
      <c r="H220" s="19">
        <v>0</v>
      </c>
      <c r="I220" s="19">
        <v>1</v>
      </c>
      <c r="J220" s="19">
        <v>1</v>
      </c>
      <c r="K220" s="19">
        <f t="shared" si="9"/>
        <v>0</v>
      </c>
      <c r="L220" s="19">
        <v>1</v>
      </c>
      <c r="M220" s="19">
        <f t="shared" si="10"/>
        <v>0</v>
      </c>
      <c r="N220" s="19">
        <v>1</v>
      </c>
      <c r="O220" s="19">
        <f t="shared" si="11"/>
        <v>0</v>
      </c>
      <c r="P220" s="19">
        <v>0</v>
      </c>
      <c r="Q220" s="19">
        <v>0</v>
      </c>
      <c r="R220" s="19">
        <v>0</v>
      </c>
      <c r="S220" s="19">
        <v>1</v>
      </c>
      <c r="T220" s="19">
        <v>0</v>
      </c>
      <c r="U220" t="s">
        <v>382</v>
      </c>
      <c r="V220" s="19">
        <v>221</v>
      </c>
      <c r="W220" s="20">
        <v>0.18378578735189899</v>
      </c>
      <c r="X220" s="8"/>
    </row>
    <row r="221" spans="1:24" x14ac:dyDescent="0.25">
      <c r="A221" s="23" t="s">
        <v>1163</v>
      </c>
      <c r="B221" s="18" t="s">
        <v>383</v>
      </c>
      <c r="C221" s="18" t="s">
        <v>7</v>
      </c>
      <c r="D221" s="5" t="s">
        <v>345</v>
      </c>
      <c r="E221" s="19">
        <v>0</v>
      </c>
      <c r="F221" s="19">
        <v>0</v>
      </c>
      <c r="G221" s="19">
        <v>0</v>
      </c>
      <c r="H221" s="19">
        <v>0</v>
      </c>
      <c r="I221" s="19">
        <v>1</v>
      </c>
      <c r="J221" s="19">
        <v>1</v>
      </c>
      <c r="K221" s="19">
        <f t="shared" si="9"/>
        <v>0</v>
      </c>
      <c r="L221" s="19">
        <v>1</v>
      </c>
      <c r="M221" s="19">
        <f t="shared" si="10"/>
        <v>0</v>
      </c>
      <c r="N221" s="19">
        <v>1</v>
      </c>
      <c r="O221" s="19">
        <f t="shared" si="11"/>
        <v>0</v>
      </c>
      <c r="P221" s="19">
        <v>0</v>
      </c>
      <c r="Q221" s="19">
        <v>0</v>
      </c>
      <c r="R221" s="19">
        <v>0</v>
      </c>
      <c r="S221" s="19">
        <v>1</v>
      </c>
      <c r="T221" s="19">
        <v>0</v>
      </c>
      <c r="U221" t="s">
        <v>384</v>
      </c>
      <c r="V221" s="19">
        <v>222</v>
      </c>
      <c r="W221" s="20">
        <v>6.7376231469881198E-2</v>
      </c>
      <c r="X221" s="8"/>
    </row>
    <row r="222" spans="1:24" x14ac:dyDescent="0.25">
      <c r="A222" s="23" t="s">
        <v>1164</v>
      </c>
      <c r="B222" s="18" t="s">
        <v>385</v>
      </c>
      <c r="C222" s="18" t="s">
        <v>7</v>
      </c>
      <c r="D222" s="5" t="s">
        <v>345</v>
      </c>
      <c r="E222" s="19">
        <v>0</v>
      </c>
      <c r="F222" s="19">
        <v>0</v>
      </c>
      <c r="G222" s="19">
        <v>0</v>
      </c>
      <c r="H222" s="19">
        <v>0</v>
      </c>
      <c r="I222" s="19">
        <v>1</v>
      </c>
      <c r="J222" s="19">
        <v>1</v>
      </c>
      <c r="K222" s="19">
        <f t="shared" si="9"/>
        <v>0</v>
      </c>
      <c r="L222" s="19">
        <v>1</v>
      </c>
      <c r="M222" s="19">
        <f t="shared" si="10"/>
        <v>0</v>
      </c>
      <c r="N222" s="19">
        <v>1</v>
      </c>
      <c r="O222" s="19">
        <f t="shared" si="11"/>
        <v>0</v>
      </c>
      <c r="P222" s="19">
        <v>0</v>
      </c>
      <c r="Q222" s="19">
        <v>0</v>
      </c>
      <c r="R222" s="19">
        <v>0</v>
      </c>
      <c r="S222" s="19">
        <v>1</v>
      </c>
      <c r="T222" s="19">
        <v>1</v>
      </c>
      <c r="U222" t="s">
        <v>386</v>
      </c>
      <c r="V222" s="19">
        <v>223</v>
      </c>
      <c r="W222" s="20">
        <v>6.4267631329247399E-2</v>
      </c>
      <c r="X222" s="8"/>
    </row>
    <row r="223" spans="1:24" x14ac:dyDescent="0.25">
      <c r="A223" s="23" t="s">
        <v>1165</v>
      </c>
      <c r="B223" s="18" t="s">
        <v>387</v>
      </c>
      <c r="C223" s="18" t="s">
        <v>7</v>
      </c>
      <c r="D223" s="5" t="s">
        <v>345</v>
      </c>
      <c r="E223" s="19">
        <v>0</v>
      </c>
      <c r="F223" s="19">
        <v>0</v>
      </c>
      <c r="G223" s="19">
        <v>0</v>
      </c>
      <c r="H223" s="19">
        <v>0</v>
      </c>
      <c r="I223" s="19">
        <v>1</v>
      </c>
      <c r="J223" s="19">
        <v>1</v>
      </c>
      <c r="K223" s="19">
        <f t="shared" si="9"/>
        <v>0</v>
      </c>
      <c r="L223" s="19">
        <v>0</v>
      </c>
      <c r="M223" s="19">
        <f t="shared" si="10"/>
        <v>1</v>
      </c>
      <c r="N223" s="19">
        <v>1</v>
      </c>
      <c r="O223" s="19">
        <f t="shared" si="11"/>
        <v>0</v>
      </c>
      <c r="P223" s="19">
        <v>0</v>
      </c>
      <c r="Q223" s="19">
        <v>0</v>
      </c>
      <c r="R223" s="19">
        <v>0</v>
      </c>
      <c r="S223" s="19">
        <v>1</v>
      </c>
      <c r="T223" s="19">
        <v>1</v>
      </c>
      <c r="U223" t="s">
        <v>388</v>
      </c>
      <c r="V223" s="19">
        <v>224</v>
      </c>
      <c r="W223" s="20">
        <v>0.20175927395469401</v>
      </c>
      <c r="X223" s="8"/>
    </row>
    <row r="224" spans="1:24" x14ac:dyDescent="0.25">
      <c r="A224" s="23" t="s">
        <v>1166</v>
      </c>
      <c r="B224" s="18" t="s">
        <v>389</v>
      </c>
      <c r="C224" s="18" t="s">
        <v>7</v>
      </c>
      <c r="D224" s="5" t="s">
        <v>345</v>
      </c>
      <c r="E224" s="19">
        <v>0</v>
      </c>
      <c r="F224" s="19">
        <v>0</v>
      </c>
      <c r="G224" s="19">
        <v>0</v>
      </c>
      <c r="H224" s="19">
        <v>0</v>
      </c>
      <c r="I224" s="19">
        <v>1</v>
      </c>
      <c r="J224" s="19">
        <v>1</v>
      </c>
      <c r="K224" s="19">
        <f t="shared" si="9"/>
        <v>0</v>
      </c>
      <c r="L224" s="19">
        <v>1</v>
      </c>
      <c r="M224" s="19">
        <f t="shared" si="10"/>
        <v>0</v>
      </c>
      <c r="N224" s="19">
        <v>1</v>
      </c>
      <c r="O224" s="19">
        <f t="shared" si="11"/>
        <v>0</v>
      </c>
      <c r="P224" s="19">
        <v>0</v>
      </c>
      <c r="Q224" s="19">
        <v>0</v>
      </c>
      <c r="R224" s="19">
        <v>0</v>
      </c>
      <c r="S224" s="19">
        <v>1</v>
      </c>
      <c r="T224" s="19">
        <v>1</v>
      </c>
      <c r="U224" t="s">
        <v>390</v>
      </c>
      <c r="V224" s="19">
        <v>225</v>
      </c>
      <c r="W224" s="20">
        <v>7.5255842542213805E-2</v>
      </c>
      <c r="X224" s="8"/>
    </row>
    <row r="225" spans="1:24" x14ac:dyDescent="0.25">
      <c r="A225" s="23" t="s">
        <v>1167</v>
      </c>
      <c r="B225" s="12" t="s">
        <v>391</v>
      </c>
      <c r="C225" s="12" t="s">
        <v>5</v>
      </c>
      <c r="D225" s="5" t="s">
        <v>345</v>
      </c>
      <c r="E225" s="13">
        <v>0</v>
      </c>
      <c r="F225" s="13">
        <v>0</v>
      </c>
      <c r="G225" s="13">
        <v>1</v>
      </c>
      <c r="H225" s="13">
        <v>0</v>
      </c>
      <c r="I225" s="13">
        <v>0</v>
      </c>
      <c r="J225" s="13">
        <v>0</v>
      </c>
      <c r="K225" s="13">
        <f t="shared" si="9"/>
        <v>0</v>
      </c>
      <c r="L225" s="13">
        <v>0</v>
      </c>
      <c r="M225" s="13">
        <f t="shared" si="10"/>
        <v>0</v>
      </c>
      <c r="N225" s="13">
        <v>0</v>
      </c>
      <c r="O225" s="13">
        <f t="shared" si="11"/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V225" s="13">
        <v>226</v>
      </c>
      <c r="W225" s="14">
        <v>8.1715648597542698E-2</v>
      </c>
      <c r="X225" s="8"/>
    </row>
    <row r="226" spans="1:24" x14ac:dyDescent="0.25">
      <c r="A226" s="23" t="s">
        <v>1168</v>
      </c>
      <c r="B226" s="15" t="s">
        <v>392</v>
      </c>
      <c r="C226" s="15" t="s">
        <v>25</v>
      </c>
      <c r="D226" s="5" t="s">
        <v>345</v>
      </c>
      <c r="E226" s="16">
        <v>0</v>
      </c>
      <c r="F226" s="16">
        <v>0</v>
      </c>
      <c r="G226" s="16">
        <v>0</v>
      </c>
      <c r="H226" s="16">
        <v>1</v>
      </c>
      <c r="I226" s="16">
        <v>0</v>
      </c>
      <c r="J226" s="16">
        <v>0</v>
      </c>
      <c r="K226" s="16">
        <f t="shared" si="9"/>
        <v>0</v>
      </c>
      <c r="L226" s="16">
        <v>0</v>
      </c>
      <c r="M226" s="16">
        <f t="shared" si="10"/>
        <v>0</v>
      </c>
      <c r="N226" s="16">
        <v>0</v>
      </c>
      <c r="O226" s="16">
        <f t="shared" si="11"/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V226" s="16">
        <v>227</v>
      </c>
      <c r="W226" s="17">
        <v>8.1715648597542698E-2</v>
      </c>
      <c r="X226" s="8"/>
    </row>
    <row r="227" spans="1:24" x14ac:dyDescent="0.25">
      <c r="A227" s="23" t="s">
        <v>1169</v>
      </c>
      <c r="B227" s="18" t="s">
        <v>393</v>
      </c>
      <c r="C227" s="18" t="s">
        <v>7</v>
      </c>
      <c r="D227" s="5" t="s">
        <v>345</v>
      </c>
      <c r="E227" s="19">
        <v>0</v>
      </c>
      <c r="F227" s="19">
        <v>0</v>
      </c>
      <c r="G227" s="19">
        <v>0</v>
      </c>
      <c r="H227" s="19">
        <v>0</v>
      </c>
      <c r="I227" s="19">
        <v>1</v>
      </c>
      <c r="J227" s="19">
        <v>1</v>
      </c>
      <c r="K227" s="19">
        <f t="shared" si="9"/>
        <v>0</v>
      </c>
      <c r="L227" s="19">
        <v>1</v>
      </c>
      <c r="M227" s="19">
        <f t="shared" si="10"/>
        <v>0</v>
      </c>
      <c r="N227" s="19">
        <v>1</v>
      </c>
      <c r="O227" s="19">
        <f t="shared" si="11"/>
        <v>0</v>
      </c>
      <c r="P227" s="19">
        <v>0</v>
      </c>
      <c r="Q227" s="19">
        <v>0</v>
      </c>
      <c r="R227" s="19">
        <v>0</v>
      </c>
      <c r="S227" s="19">
        <v>1</v>
      </c>
      <c r="T227" s="19">
        <v>0</v>
      </c>
      <c r="U227" t="s">
        <v>394</v>
      </c>
      <c r="V227" s="19">
        <v>228</v>
      </c>
      <c r="W227" s="20">
        <v>2.2470347308640899E-2</v>
      </c>
      <c r="X227" s="8"/>
    </row>
    <row r="228" spans="1:24" x14ac:dyDescent="0.25">
      <c r="A228" s="23" t="s">
        <v>1170</v>
      </c>
      <c r="B228" s="18" t="s">
        <v>395</v>
      </c>
      <c r="C228" s="18" t="s">
        <v>7</v>
      </c>
      <c r="D228" s="5" t="s">
        <v>345</v>
      </c>
      <c r="E228" s="19">
        <v>0</v>
      </c>
      <c r="F228" s="19">
        <v>0</v>
      </c>
      <c r="G228" s="19">
        <v>0</v>
      </c>
      <c r="H228" s="19">
        <v>0</v>
      </c>
      <c r="I228" s="19">
        <v>1</v>
      </c>
      <c r="J228" s="19">
        <v>1</v>
      </c>
      <c r="K228" s="19">
        <f t="shared" si="9"/>
        <v>0</v>
      </c>
      <c r="L228" s="19">
        <v>1</v>
      </c>
      <c r="M228" s="19">
        <f t="shared" si="10"/>
        <v>0</v>
      </c>
      <c r="N228" s="19">
        <v>1</v>
      </c>
      <c r="O228" s="19">
        <f t="shared" si="11"/>
        <v>0</v>
      </c>
      <c r="P228" s="19">
        <v>0</v>
      </c>
      <c r="Q228" s="19">
        <v>0</v>
      </c>
      <c r="R228" s="19">
        <v>0</v>
      </c>
      <c r="S228" s="19">
        <v>1</v>
      </c>
      <c r="T228" s="19">
        <v>1</v>
      </c>
      <c r="U228" t="s">
        <v>396</v>
      </c>
      <c r="V228" s="19">
        <v>229</v>
      </c>
      <c r="W228" s="20">
        <v>5.9245301288901799E-2</v>
      </c>
      <c r="X228" s="8"/>
    </row>
    <row r="229" spans="1:24" x14ac:dyDescent="0.25">
      <c r="A229" s="23" t="s">
        <v>1171</v>
      </c>
      <c r="B229" s="12" t="s">
        <v>397</v>
      </c>
      <c r="C229" s="12" t="s">
        <v>5</v>
      </c>
      <c r="D229" s="5" t="s">
        <v>345</v>
      </c>
      <c r="E229" s="13">
        <v>0</v>
      </c>
      <c r="F229" s="13">
        <v>0</v>
      </c>
      <c r="G229" s="13">
        <v>1</v>
      </c>
      <c r="H229" s="13">
        <v>0</v>
      </c>
      <c r="I229" s="13">
        <v>0</v>
      </c>
      <c r="J229" s="13">
        <v>0</v>
      </c>
      <c r="K229" s="13">
        <f t="shared" si="9"/>
        <v>0</v>
      </c>
      <c r="L229" s="13">
        <v>0</v>
      </c>
      <c r="M229" s="13">
        <f t="shared" si="10"/>
        <v>0</v>
      </c>
      <c r="N229" s="13">
        <v>0</v>
      </c>
      <c r="O229" s="13">
        <f t="shared" si="11"/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V229" s="13">
        <v>230</v>
      </c>
      <c r="W229" s="14">
        <v>0.14262319854774799</v>
      </c>
      <c r="X229" s="8"/>
    </row>
    <row r="230" spans="1:24" x14ac:dyDescent="0.25">
      <c r="A230" s="23" t="s">
        <v>1172</v>
      </c>
      <c r="B230" s="15" t="s">
        <v>398</v>
      </c>
      <c r="C230" s="15" t="s">
        <v>25</v>
      </c>
      <c r="D230" s="5" t="s">
        <v>345</v>
      </c>
      <c r="E230" s="16">
        <v>0</v>
      </c>
      <c r="F230" s="16">
        <v>0</v>
      </c>
      <c r="G230" s="16">
        <v>0</v>
      </c>
      <c r="H230" s="16">
        <v>1</v>
      </c>
      <c r="I230" s="16">
        <v>0</v>
      </c>
      <c r="J230" s="16">
        <v>0</v>
      </c>
      <c r="K230" s="16">
        <f t="shared" si="9"/>
        <v>0</v>
      </c>
      <c r="L230" s="16">
        <v>0</v>
      </c>
      <c r="M230" s="16">
        <f t="shared" si="10"/>
        <v>0</v>
      </c>
      <c r="N230" s="16">
        <v>0</v>
      </c>
      <c r="O230" s="16">
        <f t="shared" si="11"/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V230" s="16">
        <v>231</v>
      </c>
      <c r="W230" s="17">
        <v>0.14262319854774799</v>
      </c>
      <c r="X230" s="8"/>
    </row>
    <row r="231" spans="1:24" x14ac:dyDescent="0.25">
      <c r="A231" s="23" t="s">
        <v>1173</v>
      </c>
      <c r="B231" s="18" t="s">
        <v>399</v>
      </c>
      <c r="C231" s="18" t="s">
        <v>7</v>
      </c>
      <c r="D231" s="5" t="s">
        <v>345</v>
      </c>
      <c r="E231" s="19">
        <v>0</v>
      </c>
      <c r="F231" s="19">
        <v>0</v>
      </c>
      <c r="G231" s="19">
        <v>0</v>
      </c>
      <c r="H231" s="19">
        <v>0</v>
      </c>
      <c r="I231" s="19">
        <v>1</v>
      </c>
      <c r="J231" s="19">
        <v>1</v>
      </c>
      <c r="K231" s="19">
        <f t="shared" si="9"/>
        <v>0</v>
      </c>
      <c r="L231" s="19">
        <v>0</v>
      </c>
      <c r="M231" s="19">
        <f t="shared" si="10"/>
        <v>1</v>
      </c>
      <c r="N231" s="19">
        <v>0</v>
      </c>
      <c r="O231" s="19">
        <f t="shared" si="11"/>
        <v>1</v>
      </c>
      <c r="P231" s="19">
        <v>0</v>
      </c>
      <c r="Q231" s="19">
        <v>0</v>
      </c>
      <c r="R231" s="19">
        <v>0</v>
      </c>
      <c r="S231" s="19">
        <v>1</v>
      </c>
      <c r="T231" s="19">
        <v>1</v>
      </c>
      <c r="U231" t="s">
        <v>400</v>
      </c>
      <c r="V231" s="19">
        <v>232</v>
      </c>
      <c r="W231" s="20">
        <v>0.14262319854774799</v>
      </c>
      <c r="X231" s="8"/>
    </row>
    <row r="232" spans="1:24" x14ac:dyDescent="0.25">
      <c r="A232" s="23" t="s">
        <v>1174</v>
      </c>
      <c r="B232" s="9" t="s">
        <v>401</v>
      </c>
      <c r="C232" s="9" t="s">
        <v>4</v>
      </c>
      <c r="D232" s="5" t="s">
        <v>345</v>
      </c>
      <c r="E232" s="10">
        <v>0</v>
      </c>
      <c r="F232" s="10">
        <v>1</v>
      </c>
      <c r="G232" s="10">
        <v>0</v>
      </c>
      <c r="H232" s="10">
        <v>0</v>
      </c>
      <c r="I232" s="10">
        <v>0</v>
      </c>
      <c r="J232" s="10">
        <v>0</v>
      </c>
      <c r="K232" s="10">
        <f t="shared" si="9"/>
        <v>0</v>
      </c>
      <c r="L232" s="10">
        <v>0</v>
      </c>
      <c r="M232" s="10">
        <f t="shared" si="10"/>
        <v>0</v>
      </c>
      <c r="N232" s="10">
        <v>0</v>
      </c>
      <c r="O232" s="10">
        <f t="shared" si="11"/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V232" s="10">
        <v>233</v>
      </c>
      <c r="W232" s="11">
        <v>1.2745813603499121</v>
      </c>
      <c r="X232" s="8"/>
    </row>
    <row r="233" spans="1:24" x14ac:dyDescent="0.25">
      <c r="A233" s="23" t="s">
        <v>1175</v>
      </c>
      <c r="B233" s="12" t="s">
        <v>402</v>
      </c>
      <c r="C233" s="12" t="s">
        <v>5</v>
      </c>
      <c r="D233" s="5" t="s">
        <v>345</v>
      </c>
      <c r="E233" s="13">
        <v>0</v>
      </c>
      <c r="F233" s="13">
        <v>0</v>
      </c>
      <c r="G233" s="13">
        <v>1</v>
      </c>
      <c r="H233" s="13">
        <v>0</v>
      </c>
      <c r="I233" s="13">
        <v>0</v>
      </c>
      <c r="J233" s="13">
        <v>0</v>
      </c>
      <c r="K233" s="13">
        <f t="shared" si="9"/>
        <v>0</v>
      </c>
      <c r="L233" s="13">
        <v>0</v>
      </c>
      <c r="M233" s="13">
        <f t="shared" si="10"/>
        <v>0</v>
      </c>
      <c r="N233" s="13">
        <v>0</v>
      </c>
      <c r="O233" s="13">
        <f t="shared" si="11"/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V233" s="13">
        <v>234</v>
      </c>
      <c r="W233" s="14">
        <v>1.2745813603499121</v>
      </c>
      <c r="X233" s="8"/>
    </row>
    <row r="234" spans="1:24" x14ac:dyDescent="0.25">
      <c r="A234" s="23" t="s">
        <v>1176</v>
      </c>
      <c r="B234" s="15" t="s">
        <v>403</v>
      </c>
      <c r="C234" s="15" t="s">
        <v>25</v>
      </c>
      <c r="D234" s="5" t="s">
        <v>345</v>
      </c>
      <c r="E234" s="16">
        <v>0</v>
      </c>
      <c r="F234" s="16">
        <v>0</v>
      </c>
      <c r="G234" s="16">
        <v>0</v>
      </c>
      <c r="H234" s="16">
        <v>1</v>
      </c>
      <c r="I234" s="16">
        <v>0</v>
      </c>
      <c r="J234" s="16">
        <v>0</v>
      </c>
      <c r="K234" s="16">
        <f t="shared" si="9"/>
        <v>0</v>
      </c>
      <c r="L234" s="16">
        <v>0</v>
      </c>
      <c r="M234" s="16">
        <f t="shared" si="10"/>
        <v>0</v>
      </c>
      <c r="N234" s="16">
        <v>0</v>
      </c>
      <c r="O234" s="16">
        <f t="shared" si="11"/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V234" s="16">
        <v>235</v>
      </c>
      <c r="W234" s="17">
        <v>0.57538798305141881</v>
      </c>
      <c r="X234" s="8"/>
    </row>
    <row r="235" spans="1:24" x14ac:dyDescent="0.25">
      <c r="A235" s="23" t="s">
        <v>1177</v>
      </c>
      <c r="B235" s="18" t="s">
        <v>404</v>
      </c>
      <c r="C235" s="18" t="s">
        <v>7</v>
      </c>
      <c r="D235" s="5" t="s">
        <v>345</v>
      </c>
      <c r="E235" s="19">
        <v>0</v>
      </c>
      <c r="F235" s="19">
        <v>0</v>
      </c>
      <c r="G235" s="19">
        <v>0</v>
      </c>
      <c r="H235" s="19">
        <v>0</v>
      </c>
      <c r="I235" s="19">
        <v>1</v>
      </c>
      <c r="J235" s="19">
        <v>1</v>
      </c>
      <c r="K235" s="19">
        <f t="shared" si="9"/>
        <v>0</v>
      </c>
      <c r="L235" s="19">
        <v>1</v>
      </c>
      <c r="M235" s="19">
        <f t="shared" si="10"/>
        <v>0</v>
      </c>
      <c r="N235" s="19">
        <v>1</v>
      </c>
      <c r="O235" s="19">
        <f t="shared" si="11"/>
        <v>0</v>
      </c>
      <c r="P235" s="19">
        <v>0</v>
      </c>
      <c r="Q235" s="19">
        <v>0</v>
      </c>
      <c r="R235" s="19">
        <v>0</v>
      </c>
      <c r="S235" s="19">
        <v>1</v>
      </c>
      <c r="T235" s="19">
        <v>0</v>
      </c>
      <c r="U235" t="s">
        <v>405</v>
      </c>
      <c r="V235" s="19">
        <v>236</v>
      </c>
      <c r="W235" s="20">
        <v>0.326096243728555</v>
      </c>
      <c r="X235" s="8"/>
    </row>
    <row r="236" spans="1:24" x14ac:dyDescent="0.25">
      <c r="A236" s="23" t="s">
        <v>1178</v>
      </c>
      <c r="B236" s="18" t="s">
        <v>403</v>
      </c>
      <c r="C236" s="18" t="s">
        <v>7</v>
      </c>
      <c r="D236" s="5" t="s">
        <v>345</v>
      </c>
      <c r="E236" s="19">
        <v>0</v>
      </c>
      <c r="F236" s="19">
        <v>0</v>
      </c>
      <c r="G236" s="19">
        <v>0</v>
      </c>
      <c r="H236" s="19">
        <v>0</v>
      </c>
      <c r="I236" s="19">
        <v>1</v>
      </c>
      <c r="J236" s="19">
        <v>1</v>
      </c>
      <c r="K236" s="19">
        <f t="shared" si="9"/>
        <v>0</v>
      </c>
      <c r="L236" s="19">
        <v>1</v>
      </c>
      <c r="M236" s="19">
        <f t="shared" si="10"/>
        <v>0</v>
      </c>
      <c r="N236" s="19">
        <v>1</v>
      </c>
      <c r="O236" s="19">
        <f t="shared" si="11"/>
        <v>0</v>
      </c>
      <c r="P236" s="19">
        <v>0</v>
      </c>
      <c r="Q236" s="19">
        <v>0</v>
      </c>
      <c r="R236" s="19">
        <v>0</v>
      </c>
      <c r="S236" s="19">
        <v>1</v>
      </c>
      <c r="T236" s="19">
        <v>0</v>
      </c>
      <c r="U236" t="s">
        <v>406</v>
      </c>
      <c r="V236" s="19">
        <v>237</v>
      </c>
      <c r="W236" s="20">
        <v>0.21642260271490399</v>
      </c>
      <c r="X236" s="8"/>
    </row>
    <row r="237" spans="1:24" x14ac:dyDescent="0.25">
      <c r="A237" s="23" t="s">
        <v>1179</v>
      </c>
      <c r="B237" s="18" t="s">
        <v>407</v>
      </c>
      <c r="C237" s="18" t="s">
        <v>7</v>
      </c>
      <c r="D237" s="5" t="s">
        <v>345</v>
      </c>
      <c r="E237" s="19">
        <v>0</v>
      </c>
      <c r="F237" s="19">
        <v>0</v>
      </c>
      <c r="G237" s="19">
        <v>0</v>
      </c>
      <c r="H237" s="19">
        <v>0</v>
      </c>
      <c r="I237" s="19">
        <v>1</v>
      </c>
      <c r="J237" s="19">
        <v>1</v>
      </c>
      <c r="K237" s="19">
        <f t="shared" si="9"/>
        <v>0</v>
      </c>
      <c r="L237" s="19">
        <v>1</v>
      </c>
      <c r="M237" s="19">
        <f t="shared" si="10"/>
        <v>0</v>
      </c>
      <c r="N237" s="19">
        <v>1</v>
      </c>
      <c r="O237" s="19">
        <f t="shared" si="11"/>
        <v>0</v>
      </c>
      <c r="P237" s="19">
        <v>0</v>
      </c>
      <c r="Q237" s="19">
        <v>0</v>
      </c>
      <c r="R237" s="19">
        <v>0</v>
      </c>
      <c r="S237" s="19">
        <v>1</v>
      </c>
      <c r="T237" s="19">
        <v>1</v>
      </c>
      <c r="U237" t="s">
        <v>408</v>
      </c>
      <c r="V237" s="19">
        <v>238</v>
      </c>
      <c r="W237" s="20">
        <v>3.2869136607959898E-2</v>
      </c>
      <c r="X237" s="8"/>
    </row>
    <row r="238" spans="1:24" x14ac:dyDescent="0.25">
      <c r="A238" s="23" t="s">
        <v>1180</v>
      </c>
      <c r="B238" s="15" t="s">
        <v>409</v>
      </c>
      <c r="C238" s="15" t="s">
        <v>25</v>
      </c>
      <c r="D238" s="5" t="s">
        <v>345</v>
      </c>
      <c r="E238" s="16">
        <v>0</v>
      </c>
      <c r="F238" s="16">
        <v>0</v>
      </c>
      <c r="G238" s="16">
        <v>0</v>
      </c>
      <c r="H238" s="16">
        <v>1</v>
      </c>
      <c r="I238" s="16">
        <v>0</v>
      </c>
      <c r="J238" s="16">
        <v>0</v>
      </c>
      <c r="K238" s="16">
        <f t="shared" si="9"/>
        <v>0</v>
      </c>
      <c r="L238" s="16">
        <v>0</v>
      </c>
      <c r="M238" s="16">
        <f t="shared" si="10"/>
        <v>0</v>
      </c>
      <c r="N238" s="16">
        <v>0</v>
      </c>
      <c r="O238" s="16">
        <f t="shared" si="11"/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/>
      <c r="V238" s="16">
        <v>239</v>
      </c>
      <c r="W238" s="17">
        <v>0.41502977936182334</v>
      </c>
      <c r="X238" s="8"/>
    </row>
    <row r="239" spans="1:24" x14ac:dyDescent="0.25">
      <c r="A239" s="23" t="s">
        <v>1181</v>
      </c>
      <c r="B239" s="18" t="s">
        <v>410</v>
      </c>
      <c r="C239" s="18" t="s">
        <v>7</v>
      </c>
      <c r="D239" s="5" t="s">
        <v>345</v>
      </c>
      <c r="E239" s="19">
        <v>0</v>
      </c>
      <c r="F239" s="19">
        <v>0</v>
      </c>
      <c r="G239" s="19">
        <v>0</v>
      </c>
      <c r="H239" s="19">
        <v>0</v>
      </c>
      <c r="I239" s="19">
        <v>1</v>
      </c>
      <c r="J239" s="19">
        <v>1</v>
      </c>
      <c r="K239" s="19">
        <f t="shared" si="9"/>
        <v>0</v>
      </c>
      <c r="L239" s="19">
        <v>1</v>
      </c>
      <c r="M239" s="19">
        <f t="shared" si="10"/>
        <v>0</v>
      </c>
      <c r="N239" s="19">
        <v>1</v>
      </c>
      <c r="O239" s="19">
        <f t="shared" si="11"/>
        <v>0</v>
      </c>
      <c r="P239" s="19">
        <v>0</v>
      </c>
      <c r="Q239" s="19">
        <v>0</v>
      </c>
      <c r="R239" s="19">
        <v>0</v>
      </c>
      <c r="S239" s="19">
        <v>1</v>
      </c>
      <c r="T239" s="19">
        <v>0</v>
      </c>
      <c r="U239" t="s">
        <v>411</v>
      </c>
      <c r="V239" s="19">
        <v>240</v>
      </c>
      <c r="W239" s="20">
        <v>0.20136619136029199</v>
      </c>
      <c r="X239" s="8"/>
    </row>
    <row r="240" spans="1:24" x14ac:dyDescent="0.25">
      <c r="A240" s="23" t="s">
        <v>1182</v>
      </c>
      <c r="B240" s="18" t="s">
        <v>409</v>
      </c>
      <c r="C240" s="18" t="s">
        <v>7</v>
      </c>
      <c r="D240" s="5" t="s">
        <v>345</v>
      </c>
      <c r="E240" s="19">
        <v>0</v>
      </c>
      <c r="F240" s="19">
        <v>0</v>
      </c>
      <c r="G240" s="19">
        <v>0</v>
      </c>
      <c r="H240" s="19">
        <v>0</v>
      </c>
      <c r="I240" s="19">
        <v>1</v>
      </c>
      <c r="J240" s="19">
        <v>1</v>
      </c>
      <c r="K240" s="19">
        <f t="shared" si="9"/>
        <v>0</v>
      </c>
      <c r="L240" s="19">
        <v>1</v>
      </c>
      <c r="M240" s="19">
        <f t="shared" si="10"/>
        <v>0</v>
      </c>
      <c r="N240" s="19">
        <v>1</v>
      </c>
      <c r="O240" s="19">
        <f t="shared" si="11"/>
        <v>0</v>
      </c>
      <c r="P240" s="19">
        <v>0</v>
      </c>
      <c r="Q240" s="19">
        <v>0</v>
      </c>
      <c r="R240" s="19">
        <v>0</v>
      </c>
      <c r="S240" s="19">
        <v>1</v>
      </c>
      <c r="T240" s="19">
        <v>0</v>
      </c>
      <c r="U240" t="s">
        <v>412</v>
      </c>
      <c r="V240" s="19">
        <v>241</v>
      </c>
      <c r="W240" s="20">
        <v>3.8713958695614697E-2</v>
      </c>
      <c r="X240" s="8"/>
    </row>
    <row r="241" spans="1:24" x14ac:dyDescent="0.25">
      <c r="A241" s="23" t="s">
        <v>1183</v>
      </c>
      <c r="B241" s="18" t="s">
        <v>413</v>
      </c>
      <c r="C241" s="18" t="s">
        <v>7</v>
      </c>
      <c r="D241" s="5" t="s">
        <v>345</v>
      </c>
      <c r="E241" s="19">
        <v>0</v>
      </c>
      <c r="F241" s="19">
        <v>0</v>
      </c>
      <c r="G241" s="19">
        <v>0</v>
      </c>
      <c r="H241" s="19">
        <v>0</v>
      </c>
      <c r="I241" s="19">
        <v>1</v>
      </c>
      <c r="J241" s="19">
        <v>1</v>
      </c>
      <c r="K241" s="19">
        <f t="shared" si="9"/>
        <v>0</v>
      </c>
      <c r="L241" s="19">
        <v>1</v>
      </c>
      <c r="M241" s="19">
        <f t="shared" si="10"/>
        <v>0</v>
      </c>
      <c r="N241" s="19">
        <v>1</v>
      </c>
      <c r="O241" s="19">
        <f t="shared" si="11"/>
        <v>0</v>
      </c>
      <c r="P241" s="19">
        <v>0</v>
      </c>
      <c r="Q241" s="19">
        <v>0</v>
      </c>
      <c r="R241" s="19">
        <v>0</v>
      </c>
      <c r="S241" s="19">
        <v>1</v>
      </c>
      <c r="T241" s="19">
        <v>1</v>
      </c>
      <c r="U241" t="s">
        <v>414</v>
      </c>
      <c r="V241" s="19">
        <v>242</v>
      </c>
      <c r="W241" s="20">
        <v>0.14385692365592301</v>
      </c>
      <c r="X241" s="8"/>
    </row>
    <row r="242" spans="1:24" x14ac:dyDescent="0.25">
      <c r="A242" s="23" t="s">
        <v>1184</v>
      </c>
      <c r="B242" s="18" t="s">
        <v>415</v>
      </c>
      <c r="C242" s="18" t="s">
        <v>7</v>
      </c>
      <c r="D242" s="5" t="s">
        <v>345</v>
      </c>
      <c r="E242" s="19">
        <v>0</v>
      </c>
      <c r="F242" s="19">
        <v>0</v>
      </c>
      <c r="G242" s="19">
        <v>0</v>
      </c>
      <c r="H242" s="19">
        <v>0</v>
      </c>
      <c r="I242" s="19">
        <v>1</v>
      </c>
      <c r="J242" s="19">
        <v>1</v>
      </c>
      <c r="K242" s="19">
        <f t="shared" si="9"/>
        <v>0</v>
      </c>
      <c r="L242" s="19">
        <v>1</v>
      </c>
      <c r="M242" s="19">
        <f t="shared" si="10"/>
        <v>0</v>
      </c>
      <c r="N242" s="19">
        <v>1</v>
      </c>
      <c r="O242" s="19">
        <f t="shared" si="11"/>
        <v>0</v>
      </c>
      <c r="P242" s="19">
        <v>0</v>
      </c>
      <c r="Q242" s="19">
        <v>0</v>
      </c>
      <c r="R242" s="19">
        <v>0</v>
      </c>
      <c r="S242" s="19">
        <v>1</v>
      </c>
      <c r="T242" s="19">
        <v>1</v>
      </c>
      <c r="U242" t="s">
        <v>416</v>
      </c>
      <c r="V242" s="19">
        <v>243</v>
      </c>
      <c r="W242" s="20">
        <v>3.1092705649993599E-2</v>
      </c>
      <c r="X242" s="8"/>
    </row>
    <row r="243" spans="1:24" x14ac:dyDescent="0.25">
      <c r="A243" s="23" t="s">
        <v>1185</v>
      </c>
      <c r="B243" s="15" t="s">
        <v>417</v>
      </c>
      <c r="C243" s="15" t="s">
        <v>25</v>
      </c>
      <c r="D243" s="5" t="s">
        <v>345</v>
      </c>
      <c r="E243" s="16">
        <v>0</v>
      </c>
      <c r="F243" s="16">
        <v>0</v>
      </c>
      <c r="G243" s="16">
        <v>0</v>
      </c>
      <c r="H243" s="16">
        <v>1</v>
      </c>
      <c r="I243" s="16">
        <v>0</v>
      </c>
      <c r="J243" s="16">
        <v>0</v>
      </c>
      <c r="K243" s="16">
        <f t="shared" si="9"/>
        <v>0</v>
      </c>
      <c r="L243" s="16">
        <v>0</v>
      </c>
      <c r="M243" s="16">
        <f t="shared" si="10"/>
        <v>0</v>
      </c>
      <c r="N243" s="16">
        <v>0</v>
      </c>
      <c r="O243" s="16">
        <f t="shared" si="11"/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V243" s="16">
        <v>244</v>
      </c>
      <c r="W243" s="17">
        <v>0.28416359793667001</v>
      </c>
      <c r="X243" s="8"/>
    </row>
    <row r="244" spans="1:24" x14ac:dyDescent="0.25">
      <c r="A244" s="23" t="s">
        <v>1186</v>
      </c>
      <c r="B244" s="18" t="s">
        <v>418</v>
      </c>
      <c r="C244" s="18" t="s">
        <v>7</v>
      </c>
      <c r="D244" s="5" t="s">
        <v>345</v>
      </c>
      <c r="E244" s="19">
        <v>0</v>
      </c>
      <c r="F244" s="19">
        <v>0</v>
      </c>
      <c r="G244" s="19">
        <v>0</v>
      </c>
      <c r="H244" s="19">
        <v>0</v>
      </c>
      <c r="I244" s="19">
        <v>1</v>
      </c>
      <c r="J244" s="19">
        <v>1</v>
      </c>
      <c r="K244" s="19">
        <f t="shared" si="9"/>
        <v>0</v>
      </c>
      <c r="L244" s="19">
        <v>1</v>
      </c>
      <c r="M244" s="19">
        <f t="shared" si="10"/>
        <v>0</v>
      </c>
      <c r="N244" s="19">
        <v>1</v>
      </c>
      <c r="O244" s="19">
        <f t="shared" si="11"/>
        <v>0</v>
      </c>
      <c r="P244" s="19">
        <v>0</v>
      </c>
      <c r="Q244" s="19">
        <v>0</v>
      </c>
      <c r="R244" s="19">
        <v>0</v>
      </c>
      <c r="S244" s="19">
        <v>1</v>
      </c>
      <c r="T244" s="19">
        <v>0</v>
      </c>
      <c r="U244" t="s">
        <v>419</v>
      </c>
      <c r="V244" s="19">
        <v>245</v>
      </c>
      <c r="W244" s="20">
        <v>0.15998370303079801</v>
      </c>
      <c r="X244" s="8"/>
    </row>
    <row r="245" spans="1:24" x14ac:dyDescent="0.25">
      <c r="A245" s="23" t="s">
        <v>1187</v>
      </c>
      <c r="B245" s="18" t="s">
        <v>420</v>
      </c>
      <c r="C245" s="18" t="s">
        <v>7</v>
      </c>
      <c r="D245" s="5" t="s">
        <v>345</v>
      </c>
      <c r="E245" s="19">
        <v>0</v>
      </c>
      <c r="F245" s="19">
        <v>0</v>
      </c>
      <c r="G245" s="19">
        <v>0</v>
      </c>
      <c r="H245" s="19">
        <v>0</v>
      </c>
      <c r="I245" s="19">
        <v>1</v>
      </c>
      <c r="J245" s="19">
        <v>1</v>
      </c>
      <c r="K245" s="19">
        <f t="shared" si="9"/>
        <v>0</v>
      </c>
      <c r="L245" s="19">
        <v>1</v>
      </c>
      <c r="M245" s="19">
        <f t="shared" si="10"/>
        <v>0</v>
      </c>
      <c r="N245" s="19">
        <v>1</v>
      </c>
      <c r="O245" s="19">
        <f t="shared" si="11"/>
        <v>0</v>
      </c>
      <c r="P245" s="19">
        <v>0</v>
      </c>
      <c r="Q245" s="19">
        <v>0</v>
      </c>
      <c r="R245" s="19">
        <v>0</v>
      </c>
      <c r="S245" s="19">
        <v>1</v>
      </c>
      <c r="T245" s="19">
        <v>1</v>
      </c>
      <c r="U245" t="s">
        <v>421</v>
      </c>
      <c r="V245" s="19">
        <v>246</v>
      </c>
      <c r="W245" s="20">
        <v>0.124179894905872</v>
      </c>
      <c r="X245" s="8"/>
    </row>
    <row r="246" spans="1:24" x14ac:dyDescent="0.25">
      <c r="A246" s="23" t="s">
        <v>1188</v>
      </c>
      <c r="B246" s="5" t="s">
        <v>16</v>
      </c>
      <c r="C246" s="5" t="s">
        <v>3</v>
      </c>
      <c r="D246" s="5" t="s">
        <v>16</v>
      </c>
      <c r="E246" s="6">
        <v>1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f t="shared" si="9"/>
        <v>0</v>
      </c>
      <c r="L246" s="6">
        <v>0</v>
      </c>
      <c r="M246" s="6">
        <f t="shared" si="10"/>
        <v>0</v>
      </c>
      <c r="N246" s="6">
        <v>0</v>
      </c>
      <c r="O246" s="6">
        <f t="shared" si="11"/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V246" s="6">
        <v>247</v>
      </c>
      <c r="W246" s="7">
        <v>12.978434278444386</v>
      </c>
      <c r="X246" s="8"/>
    </row>
    <row r="247" spans="1:24" x14ac:dyDescent="0.25">
      <c r="A247" s="23" t="s">
        <v>1189</v>
      </c>
      <c r="B247" s="9" t="s">
        <v>422</v>
      </c>
      <c r="C247" s="9" t="s">
        <v>4</v>
      </c>
      <c r="D247" s="5" t="s">
        <v>16</v>
      </c>
      <c r="E247" s="10">
        <v>0</v>
      </c>
      <c r="F247" s="10">
        <v>1</v>
      </c>
      <c r="G247" s="10">
        <v>0</v>
      </c>
      <c r="H247" s="10">
        <v>0</v>
      </c>
      <c r="I247" s="10">
        <v>0</v>
      </c>
      <c r="J247" s="10">
        <v>0</v>
      </c>
      <c r="K247" s="10">
        <f t="shared" si="9"/>
        <v>0</v>
      </c>
      <c r="L247" s="10">
        <v>0</v>
      </c>
      <c r="M247" s="10">
        <f t="shared" si="10"/>
        <v>0</v>
      </c>
      <c r="N247" s="10">
        <v>0</v>
      </c>
      <c r="O247" s="10">
        <f t="shared" si="11"/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V247" s="10">
        <v>248</v>
      </c>
      <c r="W247" s="11">
        <v>6.3978329383695796</v>
      </c>
      <c r="X247" s="8"/>
    </row>
    <row r="248" spans="1:24" x14ac:dyDescent="0.25">
      <c r="A248" s="23" t="s">
        <v>1190</v>
      </c>
      <c r="B248" s="12" t="s">
        <v>423</v>
      </c>
      <c r="C248" s="12" t="s">
        <v>5</v>
      </c>
      <c r="D248" s="5" t="s">
        <v>16</v>
      </c>
      <c r="E248" s="13">
        <v>0</v>
      </c>
      <c r="F248" s="13">
        <v>0</v>
      </c>
      <c r="G248" s="13">
        <v>1</v>
      </c>
      <c r="H248" s="13">
        <v>0</v>
      </c>
      <c r="I248" s="13">
        <v>0</v>
      </c>
      <c r="J248" s="13">
        <v>0</v>
      </c>
      <c r="K248" s="13">
        <f t="shared" si="9"/>
        <v>0</v>
      </c>
      <c r="L248" s="13">
        <v>0</v>
      </c>
      <c r="M248" s="13">
        <f t="shared" si="10"/>
        <v>0</v>
      </c>
      <c r="N248" s="13">
        <v>0</v>
      </c>
      <c r="O248" s="13">
        <f t="shared" si="11"/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V248" s="13">
        <v>249</v>
      </c>
      <c r="W248" s="14">
        <v>6.3978329383695796</v>
      </c>
      <c r="X248" s="8"/>
    </row>
    <row r="249" spans="1:24" x14ac:dyDescent="0.25">
      <c r="A249" s="23" t="s">
        <v>1191</v>
      </c>
      <c r="B249" s="15" t="s">
        <v>424</v>
      </c>
      <c r="C249" s="15" t="s">
        <v>25</v>
      </c>
      <c r="D249" s="5" t="s">
        <v>16</v>
      </c>
      <c r="E249" s="16">
        <v>0</v>
      </c>
      <c r="F249" s="16">
        <v>0</v>
      </c>
      <c r="G249" s="16">
        <v>0</v>
      </c>
      <c r="H249" s="16">
        <v>1</v>
      </c>
      <c r="I249" s="16">
        <v>0</v>
      </c>
      <c r="J249" s="16">
        <v>0</v>
      </c>
      <c r="K249" s="16">
        <f t="shared" si="9"/>
        <v>0</v>
      </c>
      <c r="L249" s="16">
        <v>0</v>
      </c>
      <c r="M249" s="16">
        <f t="shared" si="10"/>
        <v>0</v>
      </c>
      <c r="N249" s="16">
        <v>0</v>
      </c>
      <c r="O249" s="16">
        <f t="shared" si="11"/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V249" s="16">
        <v>250</v>
      </c>
      <c r="W249" s="17">
        <v>6.3978329383695796</v>
      </c>
      <c r="X249" s="8"/>
    </row>
    <row r="250" spans="1:24" x14ac:dyDescent="0.25">
      <c r="A250" s="23" t="s">
        <v>1192</v>
      </c>
      <c r="B250" s="18" t="s">
        <v>425</v>
      </c>
      <c r="C250" s="18" t="s">
        <v>7</v>
      </c>
      <c r="D250" s="5" t="s">
        <v>16</v>
      </c>
      <c r="E250" s="19">
        <v>0</v>
      </c>
      <c r="F250" s="19">
        <v>0</v>
      </c>
      <c r="G250" s="19">
        <v>0</v>
      </c>
      <c r="H250" s="19">
        <v>0</v>
      </c>
      <c r="I250" s="19">
        <v>1</v>
      </c>
      <c r="J250" s="19">
        <v>1</v>
      </c>
      <c r="K250" s="19">
        <f t="shared" si="9"/>
        <v>0</v>
      </c>
      <c r="L250" s="19">
        <v>0</v>
      </c>
      <c r="M250" s="19">
        <f t="shared" si="10"/>
        <v>1</v>
      </c>
      <c r="N250" s="19">
        <v>0</v>
      </c>
      <c r="O250" s="19">
        <f t="shared" si="11"/>
        <v>1</v>
      </c>
      <c r="P250" s="19">
        <v>0</v>
      </c>
      <c r="Q250" s="19">
        <v>0</v>
      </c>
      <c r="R250" s="19">
        <v>1</v>
      </c>
      <c r="S250" s="19">
        <v>0</v>
      </c>
      <c r="T250" s="19">
        <v>0</v>
      </c>
      <c r="U250" t="s">
        <v>426</v>
      </c>
      <c r="V250" s="19">
        <v>251</v>
      </c>
      <c r="W250" s="20">
        <v>6.3978329383695796</v>
      </c>
      <c r="X250" s="8"/>
    </row>
    <row r="251" spans="1:24" x14ac:dyDescent="0.25">
      <c r="A251" s="23" t="s">
        <v>1193</v>
      </c>
      <c r="B251" s="9" t="s">
        <v>427</v>
      </c>
      <c r="C251" s="9" t="s">
        <v>4</v>
      </c>
      <c r="D251" s="5" t="s">
        <v>16</v>
      </c>
      <c r="E251" s="10">
        <v>0</v>
      </c>
      <c r="F251" s="10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f t="shared" si="9"/>
        <v>0</v>
      </c>
      <c r="L251" s="10">
        <v>0</v>
      </c>
      <c r="M251" s="10">
        <f t="shared" si="10"/>
        <v>0</v>
      </c>
      <c r="N251" s="10">
        <v>0</v>
      </c>
      <c r="O251" s="10">
        <f t="shared" si="11"/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V251" s="10">
        <v>252</v>
      </c>
      <c r="W251" s="11">
        <v>0.96549262480700127</v>
      </c>
      <c r="X251" s="8"/>
    </row>
    <row r="252" spans="1:24" x14ac:dyDescent="0.25">
      <c r="A252" s="23" t="s">
        <v>1194</v>
      </c>
      <c r="B252" s="12" t="s">
        <v>428</v>
      </c>
      <c r="C252" s="12" t="s">
        <v>5</v>
      </c>
      <c r="D252" s="5" t="s">
        <v>16</v>
      </c>
      <c r="E252" s="13">
        <v>0</v>
      </c>
      <c r="F252" s="13">
        <v>0</v>
      </c>
      <c r="G252" s="13">
        <v>1</v>
      </c>
      <c r="H252" s="13">
        <v>0</v>
      </c>
      <c r="I252" s="13">
        <v>0</v>
      </c>
      <c r="J252" s="13">
        <v>0</v>
      </c>
      <c r="K252" s="13">
        <f t="shared" si="9"/>
        <v>0</v>
      </c>
      <c r="L252" s="13">
        <v>0</v>
      </c>
      <c r="M252" s="13">
        <f t="shared" si="10"/>
        <v>0</v>
      </c>
      <c r="N252" s="13">
        <v>0</v>
      </c>
      <c r="O252" s="13">
        <f t="shared" si="11"/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/>
      <c r="V252" s="13">
        <v>253</v>
      </c>
      <c r="W252" s="14">
        <v>0.33477081219170302</v>
      </c>
      <c r="X252" s="8"/>
    </row>
    <row r="253" spans="1:24" x14ac:dyDescent="0.25">
      <c r="A253" s="23" t="s">
        <v>1195</v>
      </c>
      <c r="B253" s="15" t="s">
        <v>429</v>
      </c>
      <c r="C253" s="15" t="s">
        <v>25</v>
      </c>
      <c r="D253" s="5" t="s">
        <v>16</v>
      </c>
      <c r="E253" s="16">
        <v>0</v>
      </c>
      <c r="F253" s="16">
        <v>0</v>
      </c>
      <c r="G253" s="16">
        <v>0</v>
      </c>
      <c r="H253" s="16">
        <v>1</v>
      </c>
      <c r="I253" s="16">
        <v>0</v>
      </c>
      <c r="J253" s="16">
        <v>0</v>
      </c>
      <c r="K253" s="16">
        <f t="shared" si="9"/>
        <v>0</v>
      </c>
      <c r="L253" s="16">
        <v>0</v>
      </c>
      <c r="M253" s="16">
        <f t="shared" si="10"/>
        <v>0</v>
      </c>
      <c r="N253" s="16">
        <v>0</v>
      </c>
      <c r="O253" s="16">
        <f t="shared" si="11"/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/>
      <c r="V253" s="16">
        <v>254</v>
      </c>
      <c r="W253" s="17">
        <v>0.33477081219170302</v>
      </c>
      <c r="X253" s="8"/>
    </row>
    <row r="254" spans="1:24" x14ac:dyDescent="0.25">
      <c r="A254" s="23" t="s">
        <v>1196</v>
      </c>
      <c r="B254" s="18" t="s">
        <v>430</v>
      </c>
      <c r="C254" s="18" t="s">
        <v>7</v>
      </c>
      <c r="D254" s="5" t="s">
        <v>16</v>
      </c>
      <c r="E254" s="19">
        <v>0</v>
      </c>
      <c r="F254" s="19">
        <v>0</v>
      </c>
      <c r="G254" s="19">
        <v>0</v>
      </c>
      <c r="H254" s="19">
        <v>0</v>
      </c>
      <c r="I254" s="19">
        <v>1</v>
      </c>
      <c r="J254" s="19">
        <v>1</v>
      </c>
      <c r="K254" s="19">
        <f t="shared" si="9"/>
        <v>0</v>
      </c>
      <c r="L254" s="19">
        <v>1</v>
      </c>
      <c r="M254" s="19">
        <f t="shared" si="10"/>
        <v>0</v>
      </c>
      <c r="N254" s="19">
        <v>1</v>
      </c>
      <c r="O254" s="19">
        <f t="shared" si="11"/>
        <v>0</v>
      </c>
      <c r="P254" s="19">
        <v>0</v>
      </c>
      <c r="Q254" s="19">
        <v>0</v>
      </c>
      <c r="R254" s="19">
        <v>1</v>
      </c>
      <c r="S254" s="19">
        <v>0</v>
      </c>
      <c r="T254" s="19">
        <v>0</v>
      </c>
      <c r="U254" t="s">
        <v>431</v>
      </c>
      <c r="V254" s="19">
        <v>255</v>
      </c>
      <c r="W254" s="20">
        <v>0.33477081219170302</v>
      </c>
      <c r="X254" s="8"/>
    </row>
    <row r="255" spans="1:24" x14ac:dyDescent="0.25">
      <c r="A255" s="23" t="s">
        <v>1197</v>
      </c>
      <c r="B255" s="12" t="s">
        <v>432</v>
      </c>
      <c r="C255" s="12" t="s">
        <v>5</v>
      </c>
      <c r="D255" s="5" t="s">
        <v>16</v>
      </c>
      <c r="E255" s="13">
        <v>0</v>
      </c>
      <c r="F255" s="13">
        <v>0</v>
      </c>
      <c r="G255" s="13">
        <v>1</v>
      </c>
      <c r="H255" s="13">
        <v>0</v>
      </c>
      <c r="I255" s="13">
        <v>0</v>
      </c>
      <c r="J255" s="13">
        <v>0</v>
      </c>
      <c r="K255" s="13">
        <f t="shared" si="9"/>
        <v>0</v>
      </c>
      <c r="L255" s="13">
        <v>0</v>
      </c>
      <c r="M255" s="13">
        <f t="shared" si="10"/>
        <v>0</v>
      </c>
      <c r="N255" s="13">
        <v>0</v>
      </c>
      <c r="O255" s="13">
        <f t="shared" si="11"/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/>
      <c r="V255" s="13">
        <v>256</v>
      </c>
      <c r="W255" s="14">
        <v>0.63072181261529825</v>
      </c>
      <c r="X255" s="8"/>
    </row>
    <row r="256" spans="1:24" x14ac:dyDescent="0.25">
      <c r="A256" s="23" t="s">
        <v>1198</v>
      </c>
      <c r="B256" s="15" t="s">
        <v>433</v>
      </c>
      <c r="C256" s="15" t="s">
        <v>25</v>
      </c>
      <c r="D256" s="5" t="s">
        <v>16</v>
      </c>
      <c r="E256" s="16">
        <v>0</v>
      </c>
      <c r="F256" s="16">
        <v>0</v>
      </c>
      <c r="G256" s="16">
        <v>0</v>
      </c>
      <c r="H256" s="16">
        <v>1</v>
      </c>
      <c r="I256" s="16">
        <v>0</v>
      </c>
      <c r="J256" s="16">
        <v>0</v>
      </c>
      <c r="K256" s="16">
        <f t="shared" si="9"/>
        <v>0</v>
      </c>
      <c r="L256" s="16">
        <v>0</v>
      </c>
      <c r="M256" s="16">
        <f t="shared" si="10"/>
        <v>0</v>
      </c>
      <c r="N256" s="16">
        <v>0</v>
      </c>
      <c r="O256" s="16">
        <f t="shared" si="11"/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V256" s="16">
        <v>257</v>
      </c>
      <c r="W256" s="17">
        <v>0.63072181261529825</v>
      </c>
      <c r="X256" s="8"/>
    </row>
    <row r="257" spans="1:24" x14ac:dyDescent="0.25">
      <c r="A257" s="23" t="s">
        <v>1199</v>
      </c>
      <c r="B257" s="18" t="s">
        <v>434</v>
      </c>
      <c r="C257" s="18" t="s">
        <v>7</v>
      </c>
      <c r="D257" s="5" t="s">
        <v>16</v>
      </c>
      <c r="E257" s="19">
        <v>0</v>
      </c>
      <c r="F257" s="19">
        <v>0</v>
      </c>
      <c r="G257" s="19">
        <v>0</v>
      </c>
      <c r="H257" s="19">
        <v>0</v>
      </c>
      <c r="I257" s="19">
        <v>1</v>
      </c>
      <c r="J257" s="19">
        <v>1</v>
      </c>
      <c r="K257" s="19">
        <f t="shared" ref="K257:K320" si="12">IF(I257=1,IF(J257=1,0,1),0)</f>
        <v>0</v>
      </c>
      <c r="L257" s="19">
        <v>0</v>
      </c>
      <c r="M257" s="19">
        <f t="shared" ref="M257:M320" si="13">IF(I257=1,IF(L257=1,0,1),0)</f>
        <v>1</v>
      </c>
      <c r="N257" s="19">
        <v>0</v>
      </c>
      <c r="O257" s="19">
        <f t="shared" ref="O257:O320" si="14">IF(I257=1,IF(N257=1,0,1),0)</f>
        <v>1</v>
      </c>
      <c r="P257" s="19">
        <v>0</v>
      </c>
      <c r="Q257" s="19">
        <v>0</v>
      </c>
      <c r="R257" s="19">
        <v>1</v>
      </c>
      <c r="S257" s="19">
        <v>0</v>
      </c>
      <c r="T257" s="19">
        <v>0</v>
      </c>
      <c r="U257" t="s">
        <v>435</v>
      </c>
      <c r="V257" s="19">
        <v>258</v>
      </c>
      <c r="W257" s="20">
        <v>5.6343945261765199E-2</v>
      </c>
      <c r="X257" s="8"/>
    </row>
    <row r="258" spans="1:24" x14ac:dyDescent="0.25">
      <c r="A258" s="23" t="s">
        <v>1200</v>
      </c>
      <c r="B258" s="18" t="s">
        <v>436</v>
      </c>
      <c r="C258" s="18" t="s">
        <v>7</v>
      </c>
      <c r="D258" s="5" t="s">
        <v>16</v>
      </c>
      <c r="E258" s="19">
        <v>0</v>
      </c>
      <c r="F258" s="19">
        <v>0</v>
      </c>
      <c r="G258" s="19">
        <v>0</v>
      </c>
      <c r="H258" s="19">
        <v>0</v>
      </c>
      <c r="I258" s="19">
        <v>1</v>
      </c>
      <c r="J258" s="19">
        <v>1</v>
      </c>
      <c r="K258" s="19">
        <f t="shared" si="12"/>
        <v>0</v>
      </c>
      <c r="L258" s="19">
        <v>0</v>
      </c>
      <c r="M258" s="19">
        <f t="shared" si="13"/>
        <v>1</v>
      </c>
      <c r="N258" s="19">
        <v>0</v>
      </c>
      <c r="O258" s="19">
        <f t="shared" si="14"/>
        <v>1</v>
      </c>
      <c r="P258" s="19">
        <v>0</v>
      </c>
      <c r="Q258" s="19">
        <v>0</v>
      </c>
      <c r="R258" s="19">
        <v>1</v>
      </c>
      <c r="S258" s="19">
        <v>0</v>
      </c>
      <c r="T258" s="19">
        <v>1</v>
      </c>
      <c r="U258" t="s">
        <v>437</v>
      </c>
      <c r="V258" s="19">
        <v>259</v>
      </c>
      <c r="W258" s="20">
        <v>0.57437786735353302</v>
      </c>
      <c r="X258" s="8"/>
    </row>
    <row r="259" spans="1:24" x14ac:dyDescent="0.25">
      <c r="A259" s="23" t="s">
        <v>1201</v>
      </c>
      <c r="B259" s="9" t="s">
        <v>438</v>
      </c>
      <c r="C259" s="9" t="s">
        <v>4</v>
      </c>
      <c r="D259" s="5" t="s">
        <v>16</v>
      </c>
      <c r="E259" s="10">
        <v>0</v>
      </c>
      <c r="F259" s="10">
        <v>1</v>
      </c>
      <c r="G259" s="10">
        <v>0</v>
      </c>
      <c r="H259" s="10">
        <v>0</v>
      </c>
      <c r="I259" s="10">
        <v>0</v>
      </c>
      <c r="J259" s="10">
        <v>0</v>
      </c>
      <c r="K259" s="10">
        <f t="shared" si="12"/>
        <v>0</v>
      </c>
      <c r="L259" s="10">
        <v>0</v>
      </c>
      <c r="M259" s="10">
        <f t="shared" si="13"/>
        <v>0</v>
      </c>
      <c r="N259" s="10">
        <v>0</v>
      </c>
      <c r="O259" s="10">
        <f t="shared" si="14"/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/>
      <c r="V259" s="10">
        <v>260</v>
      </c>
      <c r="W259" s="11">
        <v>0.82742868751245702</v>
      </c>
      <c r="X259" s="8"/>
    </row>
    <row r="260" spans="1:24" x14ac:dyDescent="0.25">
      <c r="A260" s="23" t="s">
        <v>1202</v>
      </c>
      <c r="B260" s="12" t="s">
        <v>439</v>
      </c>
      <c r="C260" s="12" t="s">
        <v>5</v>
      </c>
      <c r="D260" s="5" t="s">
        <v>16</v>
      </c>
      <c r="E260" s="13">
        <v>0</v>
      </c>
      <c r="F260" s="13">
        <v>0</v>
      </c>
      <c r="G260" s="13">
        <v>1</v>
      </c>
      <c r="H260" s="13">
        <v>0</v>
      </c>
      <c r="I260" s="13">
        <v>0</v>
      </c>
      <c r="J260" s="13">
        <v>0</v>
      </c>
      <c r="K260" s="13">
        <f t="shared" si="12"/>
        <v>0</v>
      </c>
      <c r="L260" s="13">
        <v>0</v>
      </c>
      <c r="M260" s="13">
        <f t="shared" si="13"/>
        <v>0</v>
      </c>
      <c r="N260" s="13">
        <v>0</v>
      </c>
      <c r="O260" s="13">
        <f t="shared" si="14"/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V260" s="13">
        <v>261</v>
      </c>
      <c r="W260" s="14">
        <v>0.38879435477124497</v>
      </c>
      <c r="X260" s="8"/>
    </row>
    <row r="261" spans="1:24" x14ac:dyDescent="0.25">
      <c r="A261" s="23" t="s">
        <v>1203</v>
      </c>
      <c r="B261" s="15" t="s">
        <v>439</v>
      </c>
      <c r="C261" s="15" t="s">
        <v>25</v>
      </c>
      <c r="D261" s="5" t="s">
        <v>16</v>
      </c>
      <c r="E261" s="16">
        <v>0</v>
      </c>
      <c r="F261" s="16">
        <v>0</v>
      </c>
      <c r="G261" s="16">
        <v>0</v>
      </c>
      <c r="H261" s="16">
        <v>1</v>
      </c>
      <c r="I261" s="16">
        <v>0</v>
      </c>
      <c r="J261" s="16">
        <v>0</v>
      </c>
      <c r="K261" s="16">
        <f t="shared" si="12"/>
        <v>0</v>
      </c>
      <c r="L261" s="16">
        <v>0</v>
      </c>
      <c r="M261" s="16">
        <f t="shared" si="13"/>
        <v>0</v>
      </c>
      <c r="N261" s="16">
        <v>0</v>
      </c>
      <c r="O261" s="16">
        <f t="shared" si="14"/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V261" s="16">
        <v>262</v>
      </c>
      <c r="W261" s="17">
        <v>0.38879435477124497</v>
      </c>
      <c r="X261" s="8"/>
    </row>
    <row r="262" spans="1:24" x14ac:dyDescent="0.25">
      <c r="A262" s="23" t="s">
        <v>1204</v>
      </c>
      <c r="B262" s="18" t="s">
        <v>440</v>
      </c>
      <c r="C262" s="18" t="s">
        <v>7</v>
      </c>
      <c r="D262" s="5" t="s">
        <v>16</v>
      </c>
      <c r="E262" s="19">
        <v>0</v>
      </c>
      <c r="F262" s="19">
        <v>0</v>
      </c>
      <c r="G262" s="19">
        <v>0</v>
      </c>
      <c r="H262" s="19">
        <v>0</v>
      </c>
      <c r="I262" s="19">
        <v>1</v>
      </c>
      <c r="J262" s="19">
        <v>0</v>
      </c>
      <c r="K262" s="19">
        <f t="shared" si="12"/>
        <v>1</v>
      </c>
      <c r="L262" s="19">
        <v>0</v>
      </c>
      <c r="M262" s="19">
        <f t="shared" si="13"/>
        <v>1</v>
      </c>
      <c r="N262" s="19">
        <v>0</v>
      </c>
      <c r="O262" s="19">
        <f t="shared" si="14"/>
        <v>1</v>
      </c>
      <c r="P262" s="19">
        <v>0</v>
      </c>
      <c r="Q262" s="19">
        <v>0</v>
      </c>
      <c r="R262" s="19">
        <v>1</v>
      </c>
      <c r="S262" s="19">
        <v>0</v>
      </c>
      <c r="T262" s="19">
        <v>0</v>
      </c>
      <c r="U262" t="s">
        <v>441</v>
      </c>
      <c r="V262" s="19">
        <v>263</v>
      </c>
      <c r="W262" s="20">
        <v>0.34126028715246698</v>
      </c>
      <c r="X262" s="8"/>
    </row>
    <row r="263" spans="1:24" x14ac:dyDescent="0.25">
      <c r="A263" s="23" t="s">
        <v>1205</v>
      </c>
      <c r="B263" s="18" t="s">
        <v>442</v>
      </c>
      <c r="C263" s="18" t="s">
        <v>7</v>
      </c>
      <c r="D263" s="5" t="s">
        <v>16</v>
      </c>
      <c r="E263" s="19">
        <v>0</v>
      </c>
      <c r="F263" s="19">
        <v>0</v>
      </c>
      <c r="G263" s="19">
        <v>0</v>
      </c>
      <c r="H263" s="19">
        <v>0</v>
      </c>
      <c r="I263" s="19">
        <v>1</v>
      </c>
      <c r="J263" s="19">
        <v>1</v>
      </c>
      <c r="K263" s="19">
        <f t="shared" si="12"/>
        <v>0</v>
      </c>
      <c r="L263" s="19">
        <v>0</v>
      </c>
      <c r="M263" s="19">
        <f t="shared" si="13"/>
        <v>1</v>
      </c>
      <c r="N263" s="19">
        <v>0</v>
      </c>
      <c r="O263" s="19">
        <f t="shared" si="14"/>
        <v>1</v>
      </c>
      <c r="P263" s="19">
        <v>0</v>
      </c>
      <c r="Q263" s="19">
        <v>0</v>
      </c>
      <c r="R263" s="19">
        <v>1</v>
      </c>
      <c r="S263" s="19">
        <v>0</v>
      </c>
      <c r="T263" s="19">
        <v>0</v>
      </c>
      <c r="U263" t="s">
        <v>443</v>
      </c>
      <c r="V263" s="19">
        <v>264</v>
      </c>
      <c r="W263" s="20">
        <v>4.7534067618778E-2</v>
      </c>
      <c r="X263" s="8"/>
    </row>
    <row r="264" spans="1:24" x14ac:dyDescent="0.25">
      <c r="A264" s="23" t="s">
        <v>1206</v>
      </c>
      <c r="B264" s="12" t="s">
        <v>444</v>
      </c>
      <c r="C264" s="12" t="s">
        <v>5</v>
      </c>
      <c r="D264" s="5" t="s">
        <v>16</v>
      </c>
      <c r="E264" s="13">
        <v>0</v>
      </c>
      <c r="F264" s="13">
        <v>0</v>
      </c>
      <c r="G264" s="13">
        <v>1</v>
      </c>
      <c r="H264" s="13">
        <v>0</v>
      </c>
      <c r="I264" s="13">
        <v>0</v>
      </c>
      <c r="J264" s="13">
        <v>0</v>
      </c>
      <c r="K264" s="13">
        <f t="shared" si="12"/>
        <v>0</v>
      </c>
      <c r="L264" s="13">
        <v>0</v>
      </c>
      <c r="M264" s="13">
        <f t="shared" si="13"/>
        <v>0</v>
      </c>
      <c r="N264" s="13">
        <v>0</v>
      </c>
      <c r="O264" s="13">
        <f t="shared" si="14"/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V264" s="13">
        <v>265</v>
      </c>
      <c r="W264" s="14">
        <v>0.10627965910561001</v>
      </c>
      <c r="X264" s="8"/>
    </row>
    <row r="265" spans="1:24" x14ac:dyDescent="0.25">
      <c r="A265" s="23" t="s">
        <v>1207</v>
      </c>
      <c r="B265" s="15" t="s">
        <v>444</v>
      </c>
      <c r="C265" s="15" t="s">
        <v>25</v>
      </c>
      <c r="D265" s="5" t="s">
        <v>16</v>
      </c>
      <c r="E265" s="16">
        <v>0</v>
      </c>
      <c r="F265" s="16">
        <v>0</v>
      </c>
      <c r="G265" s="16">
        <v>0</v>
      </c>
      <c r="H265" s="16">
        <v>1</v>
      </c>
      <c r="I265" s="16">
        <v>0</v>
      </c>
      <c r="J265" s="16">
        <v>0</v>
      </c>
      <c r="K265" s="16">
        <f t="shared" si="12"/>
        <v>0</v>
      </c>
      <c r="L265" s="16">
        <v>0</v>
      </c>
      <c r="M265" s="16">
        <f t="shared" si="13"/>
        <v>0</v>
      </c>
      <c r="N265" s="16">
        <v>0</v>
      </c>
      <c r="O265" s="16">
        <f t="shared" si="14"/>
        <v>0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/>
      <c r="V265" s="16">
        <v>266</v>
      </c>
      <c r="W265" s="17">
        <v>0.10627965910561001</v>
      </c>
      <c r="X265" s="8"/>
    </row>
    <row r="266" spans="1:24" x14ac:dyDescent="0.25">
      <c r="A266" s="23" t="s">
        <v>1208</v>
      </c>
      <c r="B266" s="18" t="s">
        <v>445</v>
      </c>
      <c r="C266" s="18" t="s">
        <v>7</v>
      </c>
      <c r="D266" s="5" t="s">
        <v>16</v>
      </c>
      <c r="E266" s="19">
        <v>0</v>
      </c>
      <c r="F266" s="19">
        <v>0</v>
      </c>
      <c r="G266" s="19">
        <v>0</v>
      </c>
      <c r="H266" s="19">
        <v>0</v>
      </c>
      <c r="I266" s="19">
        <v>1</v>
      </c>
      <c r="J266" s="19">
        <v>1</v>
      </c>
      <c r="K266" s="19">
        <f t="shared" si="12"/>
        <v>0</v>
      </c>
      <c r="L266" s="19">
        <v>0</v>
      </c>
      <c r="M266" s="19">
        <f t="shared" si="13"/>
        <v>1</v>
      </c>
      <c r="N266" s="19">
        <v>0</v>
      </c>
      <c r="O266" s="19">
        <f t="shared" si="14"/>
        <v>1</v>
      </c>
      <c r="P266" s="19">
        <v>0</v>
      </c>
      <c r="Q266" s="19">
        <v>0</v>
      </c>
      <c r="R266" s="19">
        <v>1</v>
      </c>
      <c r="S266" s="19">
        <v>0</v>
      </c>
      <c r="T266" s="19">
        <v>0</v>
      </c>
      <c r="U266" t="s">
        <v>446</v>
      </c>
      <c r="V266" s="19">
        <v>267</v>
      </c>
      <c r="W266" s="20">
        <v>0.10627965910561001</v>
      </c>
      <c r="X266" s="8"/>
    </row>
    <row r="267" spans="1:24" x14ac:dyDescent="0.25">
      <c r="A267" s="23" t="s">
        <v>1209</v>
      </c>
      <c r="B267" s="12" t="s">
        <v>447</v>
      </c>
      <c r="C267" s="12" t="s">
        <v>5</v>
      </c>
      <c r="D267" s="5" t="s">
        <v>16</v>
      </c>
      <c r="E267" s="13">
        <v>0</v>
      </c>
      <c r="F267" s="13">
        <v>0</v>
      </c>
      <c r="G267" s="13">
        <v>1</v>
      </c>
      <c r="H267" s="13">
        <v>0</v>
      </c>
      <c r="I267" s="13">
        <v>0</v>
      </c>
      <c r="J267" s="13">
        <v>0</v>
      </c>
      <c r="K267" s="13">
        <f t="shared" si="12"/>
        <v>0</v>
      </c>
      <c r="L267" s="13">
        <v>0</v>
      </c>
      <c r="M267" s="13">
        <f t="shared" si="13"/>
        <v>0</v>
      </c>
      <c r="N267" s="13">
        <v>0</v>
      </c>
      <c r="O267" s="13">
        <f t="shared" si="14"/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V267" s="13">
        <v>268</v>
      </c>
      <c r="W267" s="14">
        <v>0.332354673635602</v>
      </c>
      <c r="X267" s="8"/>
    </row>
    <row r="268" spans="1:24" x14ac:dyDescent="0.25">
      <c r="A268" s="23" t="s">
        <v>1210</v>
      </c>
      <c r="B268" s="15" t="s">
        <v>447</v>
      </c>
      <c r="C268" s="15" t="s">
        <v>25</v>
      </c>
      <c r="D268" s="5" t="s">
        <v>16</v>
      </c>
      <c r="E268" s="16">
        <v>0</v>
      </c>
      <c r="F268" s="16">
        <v>0</v>
      </c>
      <c r="G268" s="16">
        <v>0</v>
      </c>
      <c r="H268" s="16">
        <v>1</v>
      </c>
      <c r="I268" s="16">
        <v>0</v>
      </c>
      <c r="J268" s="16">
        <v>0</v>
      </c>
      <c r="K268" s="16">
        <f t="shared" si="12"/>
        <v>0</v>
      </c>
      <c r="L268" s="16">
        <v>0</v>
      </c>
      <c r="M268" s="16">
        <f t="shared" si="13"/>
        <v>0</v>
      </c>
      <c r="N268" s="16">
        <v>0</v>
      </c>
      <c r="O268" s="16">
        <f t="shared" si="14"/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V268" s="16">
        <v>269</v>
      </c>
      <c r="W268" s="17">
        <v>0.332354673635602</v>
      </c>
      <c r="X268" s="8"/>
    </row>
    <row r="269" spans="1:24" x14ac:dyDescent="0.25">
      <c r="A269" s="23" t="s">
        <v>1211</v>
      </c>
      <c r="B269" s="18" t="s">
        <v>448</v>
      </c>
      <c r="C269" s="18" t="s">
        <v>7</v>
      </c>
      <c r="D269" s="5" t="s">
        <v>16</v>
      </c>
      <c r="E269" s="19">
        <v>0</v>
      </c>
      <c r="F269" s="19">
        <v>0</v>
      </c>
      <c r="G269" s="19">
        <v>0</v>
      </c>
      <c r="H269" s="19">
        <v>0</v>
      </c>
      <c r="I269" s="19">
        <v>1</v>
      </c>
      <c r="J269" s="19">
        <v>1</v>
      </c>
      <c r="K269" s="19">
        <f t="shared" si="12"/>
        <v>0</v>
      </c>
      <c r="L269" s="19">
        <v>0</v>
      </c>
      <c r="M269" s="19">
        <f t="shared" si="13"/>
        <v>1</v>
      </c>
      <c r="N269" s="19">
        <v>0</v>
      </c>
      <c r="O269" s="19">
        <f t="shared" si="14"/>
        <v>1</v>
      </c>
      <c r="P269" s="19">
        <v>0</v>
      </c>
      <c r="Q269" s="19">
        <v>0</v>
      </c>
      <c r="R269" s="19">
        <v>1</v>
      </c>
      <c r="S269" s="19">
        <v>0</v>
      </c>
      <c r="T269" s="19">
        <v>1</v>
      </c>
      <c r="U269" t="s">
        <v>449</v>
      </c>
      <c r="V269" s="19">
        <v>270</v>
      </c>
      <c r="W269" s="20">
        <v>0.332354673635602</v>
      </c>
      <c r="X269" s="8"/>
    </row>
    <row r="270" spans="1:24" x14ac:dyDescent="0.25">
      <c r="A270" s="23" t="s">
        <v>1212</v>
      </c>
      <c r="B270" s="9" t="s">
        <v>450</v>
      </c>
      <c r="C270" s="9" t="s">
        <v>4</v>
      </c>
      <c r="D270" s="5" t="s">
        <v>16</v>
      </c>
      <c r="E270" s="10">
        <v>0</v>
      </c>
      <c r="F270" s="10">
        <v>1</v>
      </c>
      <c r="G270" s="10">
        <v>0</v>
      </c>
      <c r="H270" s="10">
        <v>0</v>
      </c>
      <c r="I270" s="10">
        <v>0</v>
      </c>
      <c r="J270" s="10">
        <v>0</v>
      </c>
      <c r="K270" s="10">
        <f t="shared" si="12"/>
        <v>0</v>
      </c>
      <c r="L270" s="10">
        <v>0</v>
      </c>
      <c r="M270" s="10">
        <f t="shared" si="13"/>
        <v>0</v>
      </c>
      <c r="N270" s="10">
        <v>0</v>
      </c>
      <c r="O270" s="10">
        <f t="shared" si="14"/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V270" s="10">
        <v>271</v>
      </c>
      <c r="W270" s="11">
        <v>4.7876800277553482</v>
      </c>
      <c r="X270" s="8"/>
    </row>
    <row r="271" spans="1:24" x14ac:dyDescent="0.25">
      <c r="A271" s="23" t="s">
        <v>1213</v>
      </c>
      <c r="B271" s="12" t="s">
        <v>451</v>
      </c>
      <c r="C271" s="12" t="s">
        <v>5</v>
      </c>
      <c r="D271" s="5" t="s">
        <v>16</v>
      </c>
      <c r="E271" s="13">
        <v>0</v>
      </c>
      <c r="F271" s="13">
        <v>0</v>
      </c>
      <c r="G271" s="13">
        <v>1</v>
      </c>
      <c r="H271" s="13">
        <v>0</v>
      </c>
      <c r="I271" s="13">
        <v>0</v>
      </c>
      <c r="J271" s="13">
        <v>0</v>
      </c>
      <c r="K271" s="13">
        <f t="shared" si="12"/>
        <v>0</v>
      </c>
      <c r="L271" s="13">
        <v>0</v>
      </c>
      <c r="M271" s="13">
        <f t="shared" si="13"/>
        <v>0</v>
      </c>
      <c r="N271" s="13">
        <v>0</v>
      </c>
      <c r="O271" s="13">
        <f t="shared" si="14"/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/>
      <c r="V271" s="13">
        <v>272</v>
      </c>
      <c r="W271" s="14">
        <v>2.5763840819913799</v>
      </c>
      <c r="X271" s="8"/>
    </row>
    <row r="272" spans="1:24" x14ac:dyDescent="0.25">
      <c r="A272" s="23" t="s">
        <v>1214</v>
      </c>
      <c r="B272" s="15" t="s">
        <v>451</v>
      </c>
      <c r="C272" s="15" t="s">
        <v>25</v>
      </c>
      <c r="D272" s="5" t="s">
        <v>16</v>
      </c>
      <c r="E272" s="16">
        <v>0</v>
      </c>
      <c r="F272" s="16">
        <v>0</v>
      </c>
      <c r="G272" s="16">
        <v>0</v>
      </c>
      <c r="H272" s="16">
        <v>1</v>
      </c>
      <c r="I272" s="16">
        <v>0</v>
      </c>
      <c r="J272" s="16">
        <v>0</v>
      </c>
      <c r="K272" s="16">
        <f t="shared" si="12"/>
        <v>0</v>
      </c>
      <c r="L272" s="16">
        <v>0</v>
      </c>
      <c r="M272" s="16">
        <f t="shared" si="13"/>
        <v>0</v>
      </c>
      <c r="N272" s="16">
        <v>0</v>
      </c>
      <c r="O272" s="16">
        <f t="shared" si="14"/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V272" s="16">
        <v>273</v>
      </c>
      <c r="W272" s="17">
        <v>2.5763840819913799</v>
      </c>
      <c r="X272" s="8"/>
    </row>
    <row r="273" spans="1:24" x14ac:dyDescent="0.25">
      <c r="A273" s="23" t="s">
        <v>1215</v>
      </c>
      <c r="B273" s="18" t="s">
        <v>452</v>
      </c>
      <c r="C273" s="18" t="s">
        <v>7</v>
      </c>
      <c r="D273" s="5" t="s">
        <v>16</v>
      </c>
      <c r="E273" s="19">
        <v>0</v>
      </c>
      <c r="F273" s="19">
        <v>0</v>
      </c>
      <c r="G273" s="19">
        <v>0</v>
      </c>
      <c r="H273" s="19">
        <v>0</v>
      </c>
      <c r="I273" s="19">
        <v>1</v>
      </c>
      <c r="J273" s="19">
        <v>0</v>
      </c>
      <c r="K273" s="19">
        <f t="shared" si="12"/>
        <v>1</v>
      </c>
      <c r="L273" s="19">
        <v>0</v>
      </c>
      <c r="M273" s="19">
        <f t="shared" si="13"/>
        <v>1</v>
      </c>
      <c r="N273" s="19">
        <v>0</v>
      </c>
      <c r="O273" s="19">
        <f t="shared" si="14"/>
        <v>1</v>
      </c>
      <c r="P273" s="19">
        <v>0</v>
      </c>
      <c r="Q273" s="19">
        <v>0</v>
      </c>
      <c r="R273" s="19">
        <v>1</v>
      </c>
      <c r="S273" s="19">
        <v>0</v>
      </c>
      <c r="T273" s="19">
        <v>0</v>
      </c>
      <c r="U273" t="s">
        <v>453</v>
      </c>
      <c r="V273" s="19">
        <v>274</v>
      </c>
      <c r="W273" s="20">
        <v>2.5763840819913799</v>
      </c>
      <c r="X273" s="8"/>
    </row>
    <row r="274" spans="1:24" x14ac:dyDescent="0.25">
      <c r="A274" s="23" t="s">
        <v>1216</v>
      </c>
      <c r="B274" s="12" t="s">
        <v>454</v>
      </c>
      <c r="C274" s="12" t="s">
        <v>5</v>
      </c>
      <c r="D274" s="5" t="s">
        <v>16</v>
      </c>
      <c r="E274" s="13">
        <v>0</v>
      </c>
      <c r="F274" s="13">
        <v>0</v>
      </c>
      <c r="G274" s="13">
        <v>1</v>
      </c>
      <c r="H274" s="13">
        <v>0</v>
      </c>
      <c r="I274" s="13">
        <v>0</v>
      </c>
      <c r="J274" s="13">
        <v>0</v>
      </c>
      <c r="K274" s="13">
        <f t="shared" si="12"/>
        <v>0</v>
      </c>
      <c r="L274" s="13">
        <v>0</v>
      </c>
      <c r="M274" s="13">
        <f t="shared" si="13"/>
        <v>0</v>
      </c>
      <c r="N274" s="13">
        <v>0</v>
      </c>
      <c r="O274" s="13">
        <f t="shared" si="14"/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/>
      <c r="V274" s="13">
        <v>275</v>
      </c>
      <c r="W274" s="14">
        <v>2.0601282564401502</v>
      </c>
      <c r="X274" s="8"/>
    </row>
    <row r="275" spans="1:24" x14ac:dyDescent="0.25">
      <c r="A275" s="23" t="s">
        <v>1217</v>
      </c>
      <c r="B275" s="15" t="s">
        <v>454</v>
      </c>
      <c r="C275" s="15" t="s">
        <v>25</v>
      </c>
      <c r="D275" s="5" t="s">
        <v>16</v>
      </c>
      <c r="E275" s="16">
        <v>0</v>
      </c>
      <c r="F275" s="16">
        <v>0</v>
      </c>
      <c r="G275" s="16">
        <v>0</v>
      </c>
      <c r="H275" s="16">
        <v>1</v>
      </c>
      <c r="I275" s="16">
        <v>0</v>
      </c>
      <c r="J275" s="16">
        <v>0</v>
      </c>
      <c r="K275" s="16">
        <f t="shared" si="12"/>
        <v>0</v>
      </c>
      <c r="L275" s="16">
        <v>0</v>
      </c>
      <c r="M275" s="16">
        <f t="shared" si="13"/>
        <v>0</v>
      </c>
      <c r="N275" s="16">
        <v>0</v>
      </c>
      <c r="O275" s="16">
        <f t="shared" si="14"/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V275" s="16">
        <v>276</v>
      </c>
      <c r="W275" s="17">
        <v>2.0601282564401502</v>
      </c>
      <c r="X275" s="8"/>
    </row>
    <row r="276" spans="1:24" x14ac:dyDescent="0.25">
      <c r="A276" s="23" t="s">
        <v>1218</v>
      </c>
      <c r="B276" s="18" t="s">
        <v>455</v>
      </c>
      <c r="C276" s="18" t="s">
        <v>7</v>
      </c>
      <c r="D276" s="5" t="s">
        <v>16</v>
      </c>
      <c r="E276" s="19">
        <v>0</v>
      </c>
      <c r="F276" s="19">
        <v>0</v>
      </c>
      <c r="G276" s="19">
        <v>0</v>
      </c>
      <c r="H276" s="19">
        <v>0</v>
      </c>
      <c r="I276" s="19">
        <v>1</v>
      </c>
      <c r="J276" s="19">
        <v>0</v>
      </c>
      <c r="K276" s="19">
        <f t="shared" si="12"/>
        <v>1</v>
      </c>
      <c r="L276" s="19">
        <v>1</v>
      </c>
      <c r="M276" s="19">
        <f t="shared" si="13"/>
        <v>0</v>
      </c>
      <c r="N276" s="19">
        <v>1</v>
      </c>
      <c r="O276" s="19">
        <f t="shared" si="14"/>
        <v>0</v>
      </c>
      <c r="P276" s="19">
        <v>0</v>
      </c>
      <c r="Q276" s="19">
        <v>0</v>
      </c>
      <c r="R276" s="19">
        <v>1</v>
      </c>
      <c r="S276" s="19">
        <v>0</v>
      </c>
      <c r="T276" s="19">
        <v>0</v>
      </c>
      <c r="U276" t="s">
        <v>456</v>
      </c>
      <c r="V276" s="19">
        <v>277</v>
      </c>
      <c r="W276" s="20">
        <v>2.0601282564401502</v>
      </c>
      <c r="X276" s="8"/>
    </row>
    <row r="277" spans="1:24" x14ac:dyDescent="0.25">
      <c r="A277" s="23" t="s">
        <v>1219</v>
      </c>
      <c r="B277" s="12" t="s">
        <v>457</v>
      </c>
      <c r="C277" s="12" t="s">
        <v>5</v>
      </c>
      <c r="D277" s="5" t="s">
        <v>16</v>
      </c>
      <c r="E277" s="13">
        <v>0</v>
      </c>
      <c r="F277" s="13">
        <v>0</v>
      </c>
      <c r="G277" s="13">
        <v>1</v>
      </c>
      <c r="H277" s="13">
        <v>0</v>
      </c>
      <c r="I277" s="13">
        <v>0</v>
      </c>
      <c r="J277" s="13">
        <v>0</v>
      </c>
      <c r="K277" s="13">
        <f t="shared" si="12"/>
        <v>0</v>
      </c>
      <c r="L277" s="13">
        <v>0</v>
      </c>
      <c r="M277" s="13">
        <f t="shared" si="13"/>
        <v>0</v>
      </c>
      <c r="N277" s="13">
        <v>0</v>
      </c>
      <c r="O277" s="13">
        <f t="shared" si="14"/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V277" s="13">
        <v>278</v>
      </c>
      <c r="W277" s="14">
        <v>2.5658726851694381E-2</v>
      </c>
      <c r="X277" s="8"/>
    </row>
    <row r="278" spans="1:24" x14ac:dyDescent="0.25">
      <c r="A278" s="23" t="s">
        <v>1220</v>
      </c>
      <c r="B278" s="15" t="s">
        <v>458</v>
      </c>
      <c r="C278" s="15" t="s">
        <v>25</v>
      </c>
      <c r="D278" s="5" t="s">
        <v>16</v>
      </c>
      <c r="E278" s="16">
        <v>0</v>
      </c>
      <c r="F278" s="16">
        <v>0</v>
      </c>
      <c r="G278" s="16">
        <v>0</v>
      </c>
      <c r="H278" s="16">
        <v>1</v>
      </c>
      <c r="I278" s="16">
        <v>0</v>
      </c>
      <c r="J278" s="16">
        <v>0</v>
      </c>
      <c r="K278" s="16">
        <f t="shared" si="12"/>
        <v>0</v>
      </c>
      <c r="L278" s="16">
        <v>0</v>
      </c>
      <c r="M278" s="16">
        <f t="shared" si="13"/>
        <v>0</v>
      </c>
      <c r="N278" s="16">
        <v>0</v>
      </c>
      <c r="O278" s="16">
        <f t="shared" si="14"/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/>
      <c r="V278" s="16">
        <v>279</v>
      </c>
      <c r="W278" s="17">
        <v>2.5658726851694381E-2</v>
      </c>
      <c r="X278" s="8"/>
    </row>
    <row r="279" spans="1:24" x14ac:dyDescent="0.25">
      <c r="A279" s="23" t="s">
        <v>1221</v>
      </c>
      <c r="B279" s="18" t="s">
        <v>459</v>
      </c>
      <c r="C279" s="18" t="s">
        <v>7</v>
      </c>
      <c r="D279" s="5" t="s">
        <v>16</v>
      </c>
      <c r="E279" s="19">
        <v>0</v>
      </c>
      <c r="F279" s="19">
        <v>0</v>
      </c>
      <c r="G279" s="19">
        <v>0</v>
      </c>
      <c r="H279" s="19">
        <v>0</v>
      </c>
      <c r="I279" s="19">
        <v>1</v>
      </c>
      <c r="J279" s="19">
        <v>0</v>
      </c>
      <c r="K279" s="19">
        <f t="shared" si="12"/>
        <v>1</v>
      </c>
      <c r="L279" s="19">
        <v>1</v>
      </c>
      <c r="M279" s="19">
        <f t="shared" si="13"/>
        <v>0</v>
      </c>
      <c r="N279" s="19">
        <v>1</v>
      </c>
      <c r="O279" s="19">
        <f t="shared" si="14"/>
        <v>0</v>
      </c>
      <c r="P279" s="19">
        <v>0</v>
      </c>
      <c r="Q279" s="19">
        <v>0</v>
      </c>
      <c r="R279" s="19">
        <v>1</v>
      </c>
      <c r="S279" s="19">
        <v>0</v>
      </c>
      <c r="T279" s="19">
        <v>0</v>
      </c>
      <c r="U279" t="s">
        <v>460</v>
      </c>
      <c r="V279" s="19">
        <v>280</v>
      </c>
      <c r="W279" s="20">
        <v>8.9302452371331793E-3</v>
      </c>
      <c r="X279" s="8"/>
    </row>
    <row r="280" spans="1:24" x14ac:dyDescent="0.25">
      <c r="A280" s="23" t="s">
        <v>1222</v>
      </c>
      <c r="B280" s="18" t="s">
        <v>461</v>
      </c>
      <c r="C280" s="18" t="s">
        <v>7</v>
      </c>
      <c r="D280" s="5" t="s">
        <v>16</v>
      </c>
      <c r="E280" s="19">
        <v>0</v>
      </c>
      <c r="F280" s="19">
        <v>0</v>
      </c>
      <c r="G280" s="19">
        <v>0</v>
      </c>
      <c r="H280" s="19">
        <v>0</v>
      </c>
      <c r="I280" s="19">
        <v>1</v>
      </c>
      <c r="J280" s="19">
        <v>0</v>
      </c>
      <c r="K280" s="19">
        <f t="shared" si="12"/>
        <v>1</v>
      </c>
      <c r="L280" s="19">
        <v>1</v>
      </c>
      <c r="M280" s="19">
        <f t="shared" si="13"/>
        <v>0</v>
      </c>
      <c r="N280" s="19">
        <v>1</v>
      </c>
      <c r="O280" s="19">
        <f t="shared" si="14"/>
        <v>0</v>
      </c>
      <c r="P280" s="19">
        <v>0</v>
      </c>
      <c r="Q280" s="19">
        <v>0</v>
      </c>
      <c r="R280" s="19">
        <v>1</v>
      </c>
      <c r="S280" s="19">
        <v>0</v>
      </c>
      <c r="T280" s="19">
        <v>0</v>
      </c>
      <c r="U280" t="s">
        <v>462</v>
      </c>
      <c r="V280" s="19">
        <v>281</v>
      </c>
      <c r="W280" s="20">
        <v>1.67284816145612E-2</v>
      </c>
      <c r="X280" s="8"/>
    </row>
    <row r="281" spans="1:24" x14ac:dyDescent="0.25">
      <c r="A281" s="23" t="s">
        <v>1223</v>
      </c>
      <c r="B281" s="12" t="s">
        <v>463</v>
      </c>
      <c r="C281" s="12" t="s">
        <v>5</v>
      </c>
      <c r="D281" s="5" t="s">
        <v>16</v>
      </c>
      <c r="E281" s="13">
        <v>0</v>
      </c>
      <c r="F281" s="13">
        <v>0</v>
      </c>
      <c r="G281" s="13">
        <v>1</v>
      </c>
      <c r="H281" s="13">
        <v>0</v>
      </c>
      <c r="I281" s="13">
        <v>0</v>
      </c>
      <c r="J281" s="13">
        <v>0</v>
      </c>
      <c r="K281" s="13">
        <f t="shared" si="12"/>
        <v>0</v>
      </c>
      <c r="L281" s="13">
        <v>0</v>
      </c>
      <c r="M281" s="13">
        <f t="shared" si="13"/>
        <v>0</v>
      </c>
      <c r="N281" s="13">
        <v>0</v>
      </c>
      <c r="O281" s="13">
        <f t="shared" si="14"/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V281" s="13">
        <v>282</v>
      </c>
      <c r="W281" s="14">
        <v>0.12550896247212401</v>
      </c>
      <c r="X281" s="8"/>
    </row>
    <row r="282" spans="1:24" x14ac:dyDescent="0.25">
      <c r="A282" s="23" t="s">
        <v>1224</v>
      </c>
      <c r="B282" s="15" t="s">
        <v>463</v>
      </c>
      <c r="C282" s="15" t="s">
        <v>25</v>
      </c>
      <c r="D282" s="5" t="s">
        <v>16</v>
      </c>
      <c r="E282" s="16">
        <v>0</v>
      </c>
      <c r="F282" s="16">
        <v>0</v>
      </c>
      <c r="G282" s="16">
        <v>0</v>
      </c>
      <c r="H282" s="16">
        <v>1</v>
      </c>
      <c r="I282" s="16">
        <v>0</v>
      </c>
      <c r="J282" s="16">
        <v>0</v>
      </c>
      <c r="K282" s="16">
        <f t="shared" si="12"/>
        <v>0</v>
      </c>
      <c r="L282" s="16">
        <v>0</v>
      </c>
      <c r="M282" s="16">
        <f t="shared" si="13"/>
        <v>0</v>
      </c>
      <c r="N282" s="16">
        <v>0</v>
      </c>
      <c r="O282" s="16">
        <f t="shared" si="14"/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V282" s="16">
        <v>283</v>
      </c>
      <c r="W282" s="17">
        <v>0.12550896247212401</v>
      </c>
      <c r="X282" s="8"/>
    </row>
    <row r="283" spans="1:24" x14ac:dyDescent="0.25">
      <c r="A283" s="23" t="s">
        <v>1225</v>
      </c>
      <c r="B283" s="18" t="s">
        <v>464</v>
      </c>
      <c r="C283" s="18" t="s">
        <v>7</v>
      </c>
      <c r="D283" s="5" t="s">
        <v>16</v>
      </c>
      <c r="E283" s="19">
        <v>0</v>
      </c>
      <c r="F283" s="19">
        <v>0</v>
      </c>
      <c r="G283" s="19">
        <v>0</v>
      </c>
      <c r="H283" s="19">
        <v>0</v>
      </c>
      <c r="I283" s="19">
        <v>1</v>
      </c>
      <c r="J283" s="19">
        <v>1</v>
      </c>
      <c r="K283" s="19">
        <f t="shared" si="12"/>
        <v>0</v>
      </c>
      <c r="L283" s="19">
        <v>1</v>
      </c>
      <c r="M283" s="19">
        <f t="shared" si="13"/>
        <v>0</v>
      </c>
      <c r="N283" s="19">
        <v>1</v>
      </c>
      <c r="O283" s="19">
        <f t="shared" si="14"/>
        <v>0</v>
      </c>
      <c r="P283" s="19">
        <v>0</v>
      </c>
      <c r="Q283" s="19">
        <v>0</v>
      </c>
      <c r="R283" s="19">
        <v>1</v>
      </c>
      <c r="S283" s="19">
        <v>0</v>
      </c>
      <c r="T283" s="19">
        <v>1</v>
      </c>
      <c r="U283" t="s">
        <v>465</v>
      </c>
      <c r="V283" s="19">
        <v>284</v>
      </c>
      <c r="W283" s="20">
        <v>0.12550896247212401</v>
      </c>
      <c r="X283" s="8"/>
    </row>
    <row r="284" spans="1:24" x14ac:dyDescent="0.25">
      <c r="A284" s="23" t="s">
        <v>1226</v>
      </c>
      <c r="B284" s="5" t="s">
        <v>466</v>
      </c>
      <c r="C284" s="5" t="s">
        <v>3</v>
      </c>
      <c r="D284" s="5" t="s">
        <v>466</v>
      </c>
      <c r="E284" s="6">
        <v>1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f t="shared" si="12"/>
        <v>0</v>
      </c>
      <c r="L284" s="6">
        <v>0</v>
      </c>
      <c r="M284" s="6">
        <f t="shared" si="13"/>
        <v>0</v>
      </c>
      <c r="N284" s="6">
        <v>0</v>
      </c>
      <c r="O284" s="6">
        <f t="shared" si="14"/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V284" s="6">
        <v>285</v>
      </c>
      <c r="W284" s="7">
        <v>5.1732337101871702</v>
      </c>
      <c r="X284" s="8"/>
    </row>
    <row r="285" spans="1:24" x14ac:dyDescent="0.25">
      <c r="A285" s="23" t="s">
        <v>1227</v>
      </c>
      <c r="B285" s="9" t="s">
        <v>467</v>
      </c>
      <c r="C285" s="9" t="s">
        <v>4</v>
      </c>
      <c r="D285" s="5" t="s">
        <v>466</v>
      </c>
      <c r="E285" s="10">
        <v>0</v>
      </c>
      <c r="F285" s="10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f t="shared" si="12"/>
        <v>0</v>
      </c>
      <c r="L285" s="10">
        <v>0</v>
      </c>
      <c r="M285" s="10">
        <f t="shared" si="13"/>
        <v>0</v>
      </c>
      <c r="N285" s="10">
        <v>0</v>
      </c>
      <c r="O285" s="10">
        <f t="shared" si="14"/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V285" s="10">
        <v>286</v>
      </c>
      <c r="W285" s="11">
        <v>0.49294528124005077</v>
      </c>
      <c r="X285" s="8"/>
    </row>
    <row r="286" spans="1:24" x14ac:dyDescent="0.25">
      <c r="A286" s="23" t="s">
        <v>1228</v>
      </c>
      <c r="B286" s="12" t="s">
        <v>468</v>
      </c>
      <c r="C286" s="12" t="s">
        <v>5</v>
      </c>
      <c r="D286" s="5" t="s">
        <v>466</v>
      </c>
      <c r="E286" s="13">
        <v>0</v>
      </c>
      <c r="F286" s="13">
        <v>0</v>
      </c>
      <c r="G286" s="13">
        <v>1</v>
      </c>
      <c r="H286" s="13">
        <v>0</v>
      </c>
      <c r="I286" s="13">
        <v>0</v>
      </c>
      <c r="J286" s="13">
        <v>0</v>
      </c>
      <c r="K286" s="13">
        <f t="shared" si="12"/>
        <v>0</v>
      </c>
      <c r="L286" s="13">
        <v>0</v>
      </c>
      <c r="M286" s="13">
        <f t="shared" si="13"/>
        <v>0</v>
      </c>
      <c r="N286" s="13">
        <v>0</v>
      </c>
      <c r="O286" s="13">
        <f t="shared" si="14"/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V286" s="13">
        <v>287</v>
      </c>
      <c r="W286" s="14">
        <v>0.4302471419523794</v>
      </c>
      <c r="X286" s="8"/>
    </row>
    <row r="287" spans="1:24" x14ac:dyDescent="0.25">
      <c r="A287" s="23" t="s">
        <v>1229</v>
      </c>
      <c r="B287" s="15" t="s">
        <v>468</v>
      </c>
      <c r="C287" s="15" t="s">
        <v>25</v>
      </c>
      <c r="D287" s="5" t="s">
        <v>466</v>
      </c>
      <c r="E287" s="16">
        <v>0</v>
      </c>
      <c r="F287" s="16">
        <v>0</v>
      </c>
      <c r="G287" s="16">
        <v>0</v>
      </c>
      <c r="H287" s="16">
        <v>1</v>
      </c>
      <c r="I287" s="16">
        <v>0</v>
      </c>
      <c r="J287" s="16">
        <v>0</v>
      </c>
      <c r="K287" s="16">
        <f t="shared" si="12"/>
        <v>0</v>
      </c>
      <c r="L287" s="16">
        <v>0</v>
      </c>
      <c r="M287" s="16">
        <f t="shared" si="13"/>
        <v>0</v>
      </c>
      <c r="N287" s="16">
        <v>0</v>
      </c>
      <c r="O287" s="16">
        <f t="shared" si="14"/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V287" s="16">
        <v>288</v>
      </c>
      <c r="W287" s="17">
        <v>0.4302471419523794</v>
      </c>
      <c r="X287" s="8"/>
    </row>
    <row r="288" spans="1:24" x14ac:dyDescent="0.25">
      <c r="A288" s="23" t="s">
        <v>1230</v>
      </c>
      <c r="B288" s="18" t="s">
        <v>469</v>
      </c>
      <c r="C288" s="18" t="s">
        <v>7</v>
      </c>
      <c r="D288" s="5" t="s">
        <v>466</v>
      </c>
      <c r="E288" s="19">
        <v>0</v>
      </c>
      <c r="F288" s="19">
        <v>0</v>
      </c>
      <c r="G288" s="19">
        <v>0</v>
      </c>
      <c r="H288" s="19">
        <v>0</v>
      </c>
      <c r="I288" s="19">
        <v>1</v>
      </c>
      <c r="J288" s="19">
        <v>1</v>
      </c>
      <c r="K288" s="19">
        <f t="shared" si="12"/>
        <v>0</v>
      </c>
      <c r="L288" s="19">
        <v>1</v>
      </c>
      <c r="M288" s="19">
        <f t="shared" si="13"/>
        <v>0</v>
      </c>
      <c r="N288" s="19">
        <v>1</v>
      </c>
      <c r="O288" s="19">
        <f t="shared" si="14"/>
        <v>0</v>
      </c>
      <c r="P288" s="19">
        <v>0</v>
      </c>
      <c r="Q288" s="19">
        <v>0</v>
      </c>
      <c r="R288" s="19">
        <v>0</v>
      </c>
      <c r="S288" s="19">
        <v>1</v>
      </c>
      <c r="T288" s="19">
        <v>0</v>
      </c>
      <c r="U288" t="s">
        <v>470</v>
      </c>
      <c r="V288" s="19">
        <v>289</v>
      </c>
      <c r="W288" s="20">
        <v>0.10533187042910901</v>
      </c>
      <c r="X288" s="8"/>
    </row>
    <row r="289" spans="1:24" x14ac:dyDescent="0.25">
      <c r="A289" s="23" t="s">
        <v>1231</v>
      </c>
      <c r="B289" s="18" t="s">
        <v>471</v>
      </c>
      <c r="C289" s="18" t="s">
        <v>7</v>
      </c>
      <c r="D289" s="5" t="s">
        <v>466</v>
      </c>
      <c r="E289" s="19">
        <v>0</v>
      </c>
      <c r="F289" s="19">
        <v>0</v>
      </c>
      <c r="G289" s="19">
        <v>0</v>
      </c>
      <c r="H289" s="19">
        <v>0</v>
      </c>
      <c r="I289" s="19">
        <v>1</v>
      </c>
      <c r="J289" s="19">
        <v>1</v>
      </c>
      <c r="K289" s="19">
        <f t="shared" si="12"/>
        <v>0</v>
      </c>
      <c r="L289" s="19">
        <v>1</v>
      </c>
      <c r="M289" s="19">
        <f t="shared" si="13"/>
        <v>0</v>
      </c>
      <c r="N289" s="19">
        <v>1</v>
      </c>
      <c r="O289" s="19">
        <f t="shared" si="14"/>
        <v>0</v>
      </c>
      <c r="P289" s="19">
        <v>0</v>
      </c>
      <c r="Q289" s="19">
        <v>0</v>
      </c>
      <c r="R289" s="19">
        <v>0</v>
      </c>
      <c r="S289" s="19">
        <v>1</v>
      </c>
      <c r="T289" s="19">
        <v>0</v>
      </c>
      <c r="U289" t="s">
        <v>472</v>
      </c>
      <c r="V289" s="19">
        <v>290</v>
      </c>
      <c r="W289" s="20">
        <v>0.18368394183685199</v>
      </c>
      <c r="X289" s="8"/>
    </row>
    <row r="290" spans="1:24" x14ac:dyDescent="0.25">
      <c r="A290" s="23" t="s">
        <v>1232</v>
      </c>
      <c r="B290" s="18" t="s">
        <v>473</v>
      </c>
      <c r="C290" s="18" t="s">
        <v>7</v>
      </c>
      <c r="D290" s="5" t="s">
        <v>466</v>
      </c>
      <c r="E290" s="19">
        <v>0</v>
      </c>
      <c r="F290" s="19">
        <v>0</v>
      </c>
      <c r="G290" s="19">
        <v>0</v>
      </c>
      <c r="H290" s="19">
        <v>0</v>
      </c>
      <c r="I290" s="19">
        <v>1</v>
      </c>
      <c r="J290" s="19">
        <v>1</v>
      </c>
      <c r="K290" s="19">
        <f t="shared" si="12"/>
        <v>0</v>
      </c>
      <c r="L290" s="19">
        <v>1</v>
      </c>
      <c r="M290" s="19">
        <f t="shared" si="13"/>
        <v>0</v>
      </c>
      <c r="N290" s="19">
        <v>1</v>
      </c>
      <c r="O290" s="19">
        <f t="shared" si="14"/>
        <v>0</v>
      </c>
      <c r="P290" s="19">
        <v>0</v>
      </c>
      <c r="Q290" s="19">
        <v>0</v>
      </c>
      <c r="R290" s="19">
        <v>0</v>
      </c>
      <c r="S290" s="19">
        <v>1</v>
      </c>
      <c r="T290" s="19">
        <v>0</v>
      </c>
      <c r="U290" t="s">
        <v>474</v>
      </c>
      <c r="V290" s="19">
        <v>291</v>
      </c>
      <c r="W290" s="20">
        <v>7.2638525485530597E-2</v>
      </c>
      <c r="X290" s="8"/>
    </row>
    <row r="291" spans="1:24" x14ac:dyDescent="0.25">
      <c r="A291" s="23" t="s">
        <v>1233</v>
      </c>
      <c r="B291" s="18" t="s">
        <v>475</v>
      </c>
      <c r="C291" s="18" t="s">
        <v>7</v>
      </c>
      <c r="D291" s="5" t="s">
        <v>466</v>
      </c>
      <c r="E291" s="19">
        <v>0</v>
      </c>
      <c r="F291" s="19">
        <v>0</v>
      </c>
      <c r="G291" s="19">
        <v>0</v>
      </c>
      <c r="H291" s="19">
        <v>0</v>
      </c>
      <c r="I291" s="19">
        <v>1</v>
      </c>
      <c r="J291" s="19">
        <v>1</v>
      </c>
      <c r="K291" s="19">
        <f t="shared" si="12"/>
        <v>0</v>
      </c>
      <c r="L291" s="19">
        <v>1</v>
      </c>
      <c r="M291" s="19">
        <f t="shared" si="13"/>
        <v>0</v>
      </c>
      <c r="N291" s="19">
        <v>1</v>
      </c>
      <c r="O291" s="19">
        <f t="shared" si="14"/>
        <v>0</v>
      </c>
      <c r="P291" s="19">
        <v>0</v>
      </c>
      <c r="Q291" s="19">
        <v>0</v>
      </c>
      <c r="R291" s="19">
        <v>0</v>
      </c>
      <c r="S291" s="19">
        <v>1</v>
      </c>
      <c r="T291" s="19">
        <v>1</v>
      </c>
      <c r="U291" t="s">
        <v>476</v>
      </c>
      <c r="V291" s="19">
        <v>292</v>
      </c>
      <c r="W291" s="20">
        <v>4.4024974407120103E-2</v>
      </c>
      <c r="X291" s="8"/>
    </row>
    <row r="292" spans="1:24" x14ac:dyDescent="0.25">
      <c r="A292" s="23" t="s">
        <v>1234</v>
      </c>
      <c r="B292" s="18" t="s">
        <v>477</v>
      </c>
      <c r="C292" s="18" t="s">
        <v>7</v>
      </c>
      <c r="D292" s="5" t="s">
        <v>466</v>
      </c>
      <c r="E292" s="19">
        <v>0</v>
      </c>
      <c r="F292" s="19">
        <v>0</v>
      </c>
      <c r="G292" s="19">
        <v>0</v>
      </c>
      <c r="H292" s="19">
        <v>0</v>
      </c>
      <c r="I292" s="19">
        <v>1</v>
      </c>
      <c r="J292" s="19">
        <v>1</v>
      </c>
      <c r="K292" s="19">
        <f t="shared" si="12"/>
        <v>0</v>
      </c>
      <c r="L292" s="19">
        <v>1</v>
      </c>
      <c r="M292" s="19">
        <f t="shared" si="13"/>
        <v>0</v>
      </c>
      <c r="N292" s="19">
        <v>1</v>
      </c>
      <c r="O292" s="19">
        <f t="shared" si="14"/>
        <v>0</v>
      </c>
      <c r="P292" s="19">
        <v>0</v>
      </c>
      <c r="Q292" s="19">
        <v>0</v>
      </c>
      <c r="R292" s="19">
        <v>0</v>
      </c>
      <c r="S292" s="19">
        <v>1</v>
      </c>
      <c r="T292" s="19">
        <v>1</v>
      </c>
      <c r="U292" t="s">
        <v>478</v>
      </c>
      <c r="V292" s="19">
        <v>293</v>
      </c>
      <c r="W292" s="20">
        <v>2.45678297937677E-2</v>
      </c>
      <c r="X292" s="8"/>
    </row>
    <row r="293" spans="1:24" x14ac:dyDescent="0.25">
      <c r="A293" s="23" t="s">
        <v>1235</v>
      </c>
      <c r="B293" s="12" t="s">
        <v>479</v>
      </c>
      <c r="C293" s="12" t="s">
        <v>5</v>
      </c>
      <c r="D293" s="5" t="s">
        <v>466</v>
      </c>
      <c r="E293" s="13">
        <v>0</v>
      </c>
      <c r="F293" s="13">
        <v>0</v>
      </c>
      <c r="G293" s="13">
        <v>1</v>
      </c>
      <c r="H293" s="13">
        <v>0</v>
      </c>
      <c r="I293" s="13">
        <v>0</v>
      </c>
      <c r="J293" s="13">
        <v>0</v>
      </c>
      <c r="K293" s="13">
        <f t="shared" si="12"/>
        <v>0</v>
      </c>
      <c r="L293" s="13">
        <v>0</v>
      </c>
      <c r="M293" s="13">
        <f t="shared" si="13"/>
        <v>0</v>
      </c>
      <c r="N293" s="13">
        <v>0</v>
      </c>
      <c r="O293" s="13">
        <f t="shared" si="14"/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V293" s="13">
        <v>294</v>
      </c>
      <c r="W293" s="14">
        <v>6.2698139287671401E-2</v>
      </c>
      <c r="X293" s="8"/>
    </row>
    <row r="294" spans="1:24" x14ac:dyDescent="0.25">
      <c r="A294" s="23" t="s">
        <v>1236</v>
      </c>
      <c r="B294" s="15" t="s">
        <v>479</v>
      </c>
      <c r="C294" s="15" t="s">
        <v>25</v>
      </c>
      <c r="D294" s="5" t="s">
        <v>466</v>
      </c>
      <c r="E294" s="16">
        <v>0</v>
      </c>
      <c r="F294" s="16">
        <v>0</v>
      </c>
      <c r="G294" s="16">
        <v>0</v>
      </c>
      <c r="H294" s="16">
        <v>1</v>
      </c>
      <c r="I294" s="16">
        <v>0</v>
      </c>
      <c r="J294" s="16">
        <v>0</v>
      </c>
      <c r="K294" s="16">
        <f t="shared" si="12"/>
        <v>0</v>
      </c>
      <c r="L294" s="16">
        <v>0</v>
      </c>
      <c r="M294" s="16">
        <f t="shared" si="13"/>
        <v>0</v>
      </c>
      <c r="N294" s="16">
        <v>0</v>
      </c>
      <c r="O294" s="16">
        <f t="shared" si="14"/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V294" s="16">
        <v>295</v>
      </c>
      <c r="W294" s="17">
        <v>6.2698139287671401E-2</v>
      </c>
      <c r="X294" s="8"/>
    </row>
    <row r="295" spans="1:24" x14ac:dyDescent="0.25">
      <c r="A295" s="23" t="s">
        <v>1237</v>
      </c>
      <c r="B295" s="18" t="s">
        <v>479</v>
      </c>
      <c r="C295" s="18" t="s">
        <v>7</v>
      </c>
      <c r="D295" s="5" t="s">
        <v>466</v>
      </c>
      <c r="E295" s="19">
        <v>0</v>
      </c>
      <c r="F295" s="19">
        <v>0</v>
      </c>
      <c r="G295" s="19">
        <v>0</v>
      </c>
      <c r="H295" s="19">
        <v>0</v>
      </c>
      <c r="I295" s="19">
        <v>1</v>
      </c>
      <c r="J295" s="19">
        <v>1</v>
      </c>
      <c r="K295" s="19">
        <f t="shared" si="12"/>
        <v>0</v>
      </c>
      <c r="L295" s="19">
        <v>0</v>
      </c>
      <c r="M295" s="19">
        <f t="shared" si="13"/>
        <v>1</v>
      </c>
      <c r="N295" s="19">
        <v>1</v>
      </c>
      <c r="O295" s="19">
        <f t="shared" si="14"/>
        <v>0</v>
      </c>
      <c r="P295" s="19">
        <v>0</v>
      </c>
      <c r="Q295" s="19">
        <v>0</v>
      </c>
      <c r="R295" s="19">
        <v>0</v>
      </c>
      <c r="S295" s="19">
        <v>1</v>
      </c>
      <c r="T295" s="19">
        <v>0</v>
      </c>
      <c r="U295" t="s">
        <v>480</v>
      </c>
      <c r="V295" s="19">
        <v>296</v>
      </c>
      <c r="W295" s="20">
        <v>6.2698139287671401E-2</v>
      </c>
      <c r="X295" s="8"/>
    </row>
    <row r="296" spans="1:24" x14ac:dyDescent="0.25">
      <c r="A296" s="23" t="s">
        <v>1238</v>
      </c>
      <c r="B296" s="9" t="s">
        <v>481</v>
      </c>
      <c r="C296" s="9" t="s">
        <v>4</v>
      </c>
      <c r="D296" s="5" t="s">
        <v>466</v>
      </c>
      <c r="E296" s="10">
        <v>0</v>
      </c>
      <c r="F296" s="10">
        <v>1</v>
      </c>
      <c r="G296" s="10">
        <v>0</v>
      </c>
      <c r="H296" s="10">
        <v>0</v>
      </c>
      <c r="I296" s="10">
        <v>0</v>
      </c>
      <c r="J296" s="10">
        <v>0</v>
      </c>
      <c r="K296" s="10">
        <f t="shared" si="12"/>
        <v>0</v>
      </c>
      <c r="L296" s="10">
        <v>0</v>
      </c>
      <c r="M296" s="10">
        <f t="shared" si="13"/>
        <v>0</v>
      </c>
      <c r="N296" s="10">
        <v>0</v>
      </c>
      <c r="O296" s="10">
        <f t="shared" si="14"/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V296" s="10">
        <v>297</v>
      </c>
      <c r="W296" s="11">
        <v>0.27616240326921415</v>
      </c>
      <c r="X296" s="8"/>
    </row>
    <row r="297" spans="1:24" x14ac:dyDescent="0.25">
      <c r="A297" s="23" t="s">
        <v>1239</v>
      </c>
      <c r="B297" s="12" t="s">
        <v>482</v>
      </c>
      <c r="C297" s="12" t="s">
        <v>5</v>
      </c>
      <c r="D297" s="5" t="s">
        <v>466</v>
      </c>
      <c r="E297" s="13">
        <v>0</v>
      </c>
      <c r="F297" s="13">
        <v>0</v>
      </c>
      <c r="G297" s="13">
        <v>1</v>
      </c>
      <c r="H297" s="13">
        <v>0</v>
      </c>
      <c r="I297" s="13">
        <v>0</v>
      </c>
      <c r="J297" s="13">
        <v>0</v>
      </c>
      <c r="K297" s="13">
        <f t="shared" si="12"/>
        <v>0</v>
      </c>
      <c r="L297" s="13">
        <v>0</v>
      </c>
      <c r="M297" s="13">
        <f t="shared" si="13"/>
        <v>0</v>
      </c>
      <c r="N297" s="13">
        <v>0</v>
      </c>
      <c r="O297" s="13">
        <f t="shared" si="14"/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V297" s="13">
        <v>298</v>
      </c>
      <c r="W297" s="14">
        <v>0.27616240326921415</v>
      </c>
      <c r="X297" s="8"/>
    </row>
    <row r="298" spans="1:24" x14ac:dyDescent="0.25">
      <c r="A298" s="23" t="s">
        <v>1240</v>
      </c>
      <c r="B298" s="15" t="s">
        <v>482</v>
      </c>
      <c r="C298" s="15" t="s">
        <v>25</v>
      </c>
      <c r="D298" s="5" t="s">
        <v>466</v>
      </c>
      <c r="E298" s="16">
        <v>0</v>
      </c>
      <c r="F298" s="16">
        <v>0</v>
      </c>
      <c r="G298" s="16">
        <v>0</v>
      </c>
      <c r="H298" s="16">
        <v>1</v>
      </c>
      <c r="I298" s="16">
        <v>0</v>
      </c>
      <c r="J298" s="16">
        <v>0</v>
      </c>
      <c r="K298" s="16">
        <f t="shared" si="12"/>
        <v>0</v>
      </c>
      <c r="L298" s="16">
        <v>0</v>
      </c>
      <c r="M298" s="16">
        <f t="shared" si="13"/>
        <v>0</v>
      </c>
      <c r="N298" s="16">
        <v>0</v>
      </c>
      <c r="O298" s="16">
        <f t="shared" si="14"/>
        <v>0</v>
      </c>
      <c r="P298" s="16">
        <v>0</v>
      </c>
      <c r="Q298" s="16">
        <v>0</v>
      </c>
      <c r="R298" s="16">
        <v>0</v>
      </c>
      <c r="S298" s="16">
        <v>0</v>
      </c>
      <c r="T298" s="16">
        <v>0</v>
      </c>
      <c r="V298" s="16">
        <v>299</v>
      </c>
      <c r="W298" s="17">
        <v>0.27616240326921415</v>
      </c>
      <c r="X298" s="8"/>
    </row>
    <row r="299" spans="1:24" x14ac:dyDescent="0.25">
      <c r="A299" s="23" t="s">
        <v>1241</v>
      </c>
      <c r="B299" s="18" t="s">
        <v>483</v>
      </c>
      <c r="C299" s="18" t="s">
        <v>7</v>
      </c>
      <c r="D299" s="5" t="s">
        <v>466</v>
      </c>
      <c r="E299" s="19">
        <v>0</v>
      </c>
      <c r="F299" s="19">
        <v>0</v>
      </c>
      <c r="G299" s="19">
        <v>0</v>
      </c>
      <c r="H299" s="19">
        <v>0</v>
      </c>
      <c r="I299" s="19">
        <v>1</v>
      </c>
      <c r="J299" s="19">
        <v>1</v>
      </c>
      <c r="K299" s="19">
        <f t="shared" si="12"/>
        <v>0</v>
      </c>
      <c r="L299" s="19">
        <v>1</v>
      </c>
      <c r="M299" s="19">
        <f t="shared" si="13"/>
        <v>0</v>
      </c>
      <c r="N299" s="19">
        <v>1</v>
      </c>
      <c r="O299" s="19">
        <f t="shared" si="14"/>
        <v>0</v>
      </c>
      <c r="P299" s="19">
        <v>0</v>
      </c>
      <c r="Q299" s="19">
        <v>0</v>
      </c>
      <c r="R299" s="19">
        <v>0</v>
      </c>
      <c r="S299" s="19">
        <v>1</v>
      </c>
      <c r="T299" s="19">
        <v>0</v>
      </c>
      <c r="U299" t="s">
        <v>484</v>
      </c>
      <c r="V299" s="19">
        <v>300</v>
      </c>
      <c r="W299" s="20">
        <v>7.9709526529938804E-2</v>
      </c>
      <c r="X299" s="8"/>
    </row>
    <row r="300" spans="1:24" x14ac:dyDescent="0.25">
      <c r="A300" s="23" t="s">
        <v>1242</v>
      </c>
      <c r="B300" s="18" t="s">
        <v>485</v>
      </c>
      <c r="C300" s="18" t="s">
        <v>7</v>
      </c>
      <c r="D300" s="5" t="s">
        <v>466</v>
      </c>
      <c r="E300" s="19">
        <v>0</v>
      </c>
      <c r="F300" s="19">
        <v>0</v>
      </c>
      <c r="G300" s="19">
        <v>0</v>
      </c>
      <c r="H300" s="19">
        <v>0</v>
      </c>
      <c r="I300" s="19">
        <v>1</v>
      </c>
      <c r="J300" s="19">
        <v>1</v>
      </c>
      <c r="K300" s="19">
        <f t="shared" si="12"/>
        <v>0</v>
      </c>
      <c r="L300" s="19">
        <v>1</v>
      </c>
      <c r="M300" s="19">
        <f t="shared" si="13"/>
        <v>0</v>
      </c>
      <c r="N300" s="19">
        <v>1</v>
      </c>
      <c r="O300" s="19">
        <f t="shared" si="14"/>
        <v>0</v>
      </c>
      <c r="P300" s="19">
        <v>0</v>
      </c>
      <c r="Q300" s="19">
        <v>0</v>
      </c>
      <c r="R300" s="19">
        <v>0</v>
      </c>
      <c r="S300" s="19">
        <v>1</v>
      </c>
      <c r="T300" s="19">
        <v>0</v>
      </c>
      <c r="U300" t="s">
        <v>486</v>
      </c>
      <c r="V300" s="19">
        <v>301</v>
      </c>
      <c r="W300" s="20">
        <v>2.20738273543131E-2</v>
      </c>
      <c r="X300" s="8"/>
    </row>
    <row r="301" spans="1:24" x14ac:dyDescent="0.25">
      <c r="A301" s="23" t="s">
        <v>1243</v>
      </c>
      <c r="B301" s="18" t="s">
        <v>487</v>
      </c>
      <c r="C301" s="18" t="s">
        <v>7</v>
      </c>
      <c r="D301" s="5" t="s">
        <v>466</v>
      </c>
      <c r="E301" s="19">
        <v>0</v>
      </c>
      <c r="F301" s="19">
        <v>0</v>
      </c>
      <c r="G301" s="19">
        <v>0</v>
      </c>
      <c r="H301" s="19">
        <v>0</v>
      </c>
      <c r="I301" s="19">
        <v>1</v>
      </c>
      <c r="J301" s="19">
        <v>1</v>
      </c>
      <c r="K301" s="19">
        <f t="shared" si="12"/>
        <v>0</v>
      </c>
      <c r="L301" s="19">
        <v>1</v>
      </c>
      <c r="M301" s="19">
        <f t="shared" si="13"/>
        <v>0</v>
      </c>
      <c r="N301" s="19">
        <v>1</v>
      </c>
      <c r="O301" s="19">
        <f t="shared" si="14"/>
        <v>0</v>
      </c>
      <c r="P301" s="19">
        <v>0</v>
      </c>
      <c r="Q301" s="19">
        <v>0</v>
      </c>
      <c r="R301" s="19">
        <v>0</v>
      </c>
      <c r="S301" s="19">
        <v>1</v>
      </c>
      <c r="T301" s="19">
        <v>0</v>
      </c>
      <c r="U301" t="s">
        <v>488</v>
      </c>
      <c r="V301" s="19">
        <v>302</v>
      </c>
      <c r="W301" s="20">
        <v>2.5112232819999001E-2</v>
      </c>
      <c r="X301" s="8"/>
    </row>
    <row r="302" spans="1:24" x14ac:dyDescent="0.25">
      <c r="A302" s="23" t="s">
        <v>1244</v>
      </c>
      <c r="B302" s="18" t="s">
        <v>489</v>
      </c>
      <c r="C302" s="18" t="s">
        <v>7</v>
      </c>
      <c r="D302" s="5" t="s">
        <v>466</v>
      </c>
      <c r="E302" s="19">
        <v>0</v>
      </c>
      <c r="F302" s="19">
        <v>0</v>
      </c>
      <c r="G302" s="19">
        <v>0</v>
      </c>
      <c r="H302" s="19">
        <v>0</v>
      </c>
      <c r="I302" s="19">
        <v>1</v>
      </c>
      <c r="J302" s="19">
        <v>1</v>
      </c>
      <c r="K302" s="19">
        <f t="shared" si="12"/>
        <v>0</v>
      </c>
      <c r="L302" s="19">
        <v>1</v>
      </c>
      <c r="M302" s="19">
        <f t="shared" si="13"/>
        <v>0</v>
      </c>
      <c r="N302" s="19">
        <v>1</v>
      </c>
      <c r="O302" s="19">
        <f t="shared" si="14"/>
        <v>0</v>
      </c>
      <c r="P302" s="19">
        <v>0</v>
      </c>
      <c r="Q302" s="19">
        <v>0</v>
      </c>
      <c r="R302" s="19">
        <v>0</v>
      </c>
      <c r="S302" s="19">
        <v>1</v>
      </c>
      <c r="T302" s="19">
        <v>1</v>
      </c>
      <c r="U302" t="s">
        <v>490</v>
      </c>
      <c r="V302" s="19">
        <v>303</v>
      </c>
      <c r="W302" s="20">
        <v>6.4971567737472397E-2</v>
      </c>
      <c r="X302" s="8"/>
    </row>
    <row r="303" spans="1:24" x14ac:dyDescent="0.25">
      <c r="A303" s="23" t="s">
        <v>1245</v>
      </c>
      <c r="B303" s="18" t="s">
        <v>491</v>
      </c>
      <c r="C303" s="18" t="s">
        <v>7</v>
      </c>
      <c r="D303" s="5" t="s">
        <v>466</v>
      </c>
      <c r="E303" s="19">
        <v>0</v>
      </c>
      <c r="F303" s="19">
        <v>0</v>
      </c>
      <c r="G303" s="19">
        <v>0</v>
      </c>
      <c r="H303" s="19">
        <v>0</v>
      </c>
      <c r="I303" s="19">
        <v>1</v>
      </c>
      <c r="J303" s="19">
        <v>1</v>
      </c>
      <c r="K303" s="19">
        <f t="shared" si="12"/>
        <v>0</v>
      </c>
      <c r="L303" s="19">
        <v>1</v>
      </c>
      <c r="M303" s="19">
        <f t="shared" si="13"/>
        <v>0</v>
      </c>
      <c r="N303" s="19">
        <v>1</v>
      </c>
      <c r="O303" s="19">
        <f t="shared" si="14"/>
        <v>0</v>
      </c>
      <c r="P303" s="19">
        <v>0</v>
      </c>
      <c r="Q303" s="19">
        <v>0</v>
      </c>
      <c r="R303" s="19">
        <v>0</v>
      </c>
      <c r="S303" s="19">
        <v>1</v>
      </c>
      <c r="T303" s="19">
        <v>1</v>
      </c>
      <c r="U303" t="s">
        <v>492</v>
      </c>
      <c r="V303" s="19">
        <v>304</v>
      </c>
      <c r="W303" s="20">
        <v>5.9987744446112802E-2</v>
      </c>
      <c r="X303" s="8"/>
    </row>
    <row r="304" spans="1:24" x14ac:dyDescent="0.25">
      <c r="A304" s="23" t="s">
        <v>1246</v>
      </c>
      <c r="B304" s="18" t="s">
        <v>493</v>
      </c>
      <c r="C304" s="18" t="s">
        <v>7</v>
      </c>
      <c r="D304" s="5" t="s">
        <v>466</v>
      </c>
      <c r="E304" s="19">
        <v>0</v>
      </c>
      <c r="F304" s="19">
        <v>0</v>
      </c>
      <c r="G304" s="19">
        <v>0</v>
      </c>
      <c r="H304" s="19">
        <v>0</v>
      </c>
      <c r="I304" s="19">
        <v>1</v>
      </c>
      <c r="J304" s="19">
        <v>1</v>
      </c>
      <c r="K304" s="19">
        <f t="shared" si="12"/>
        <v>0</v>
      </c>
      <c r="L304" s="19">
        <v>1</v>
      </c>
      <c r="M304" s="19">
        <f t="shared" si="13"/>
        <v>0</v>
      </c>
      <c r="N304" s="19">
        <v>1</v>
      </c>
      <c r="O304" s="19">
        <f t="shared" si="14"/>
        <v>0</v>
      </c>
      <c r="P304" s="19">
        <v>0</v>
      </c>
      <c r="Q304" s="19">
        <v>0</v>
      </c>
      <c r="R304" s="19">
        <v>0</v>
      </c>
      <c r="S304" s="19">
        <v>1</v>
      </c>
      <c r="T304" s="19">
        <v>1</v>
      </c>
      <c r="U304" t="s">
        <v>494</v>
      </c>
      <c r="V304" s="19">
        <v>305</v>
      </c>
      <c r="W304" s="20">
        <v>2.4307504381377999E-2</v>
      </c>
      <c r="X304" s="8"/>
    </row>
    <row r="305" spans="1:24" x14ac:dyDescent="0.25">
      <c r="A305" s="23" t="s">
        <v>1247</v>
      </c>
      <c r="B305" s="9" t="s">
        <v>495</v>
      </c>
      <c r="C305" s="9" t="s">
        <v>4</v>
      </c>
      <c r="D305" s="5" t="s">
        <v>466</v>
      </c>
      <c r="E305" s="10">
        <v>0</v>
      </c>
      <c r="F305" s="10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f t="shared" si="12"/>
        <v>0</v>
      </c>
      <c r="L305" s="10">
        <v>0</v>
      </c>
      <c r="M305" s="10">
        <f t="shared" si="13"/>
        <v>0</v>
      </c>
      <c r="N305" s="10">
        <v>0</v>
      </c>
      <c r="O305" s="10">
        <f t="shared" si="14"/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V305" s="10">
        <v>306</v>
      </c>
      <c r="W305" s="11">
        <v>0.71722896313245377</v>
      </c>
      <c r="X305" s="8"/>
    </row>
    <row r="306" spans="1:24" x14ac:dyDescent="0.25">
      <c r="A306" s="23" t="s">
        <v>1248</v>
      </c>
      <c r="B306" s="12" t="s">
        <v>496</v>
      </c>
      <c r="C306" s="12" t="s">
        <v>5</v>
      </c>
      <c r="D306" s="5" t="s">
        <v>466</v>
      </c>
      <c r="E306" s="13">
        <v>0</v>
      </c>
      <c r="F306" s="13">
        <v>0</v>
      </c>
      <c r="G306" s="13">
        <v>1</v>
      </c>
      <c r="H306" s="13">
        <v>0</v>
      </c>
      <c r="I306" s="13">
        <v>0</v>
      </c>
      <c r="J306" s="13">
        <v>0</v>
      </c>
      <c r="K306" s="13">
        <f t="shared" si="12"/>
        <v>0</v>
      </c>
      <c r="L306" s="13">
        <v>0</v>
      </c>
      <c r="M306" s="13">
        <f t="shared" si="13"/>
        <v>0</v>
      </c>
      <c r="N306" s="13">
        <v>0</v>
      </c>
      <c r="O306" s="13">
        <f t="shared" si="14"/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V306" s="13">
        <v>307</v>
      </c>
      <c r="W306" s="14">
        <v>0.63290397836830403</v>
      </c>
      <c r="X306" s="8"/>
    </row>
    <row r="307" spans="1:24" x14ac:dyDescent="0.25">
      <c r="A307" s="23" t="s">
        <v>1249</v>
      </c>
      <c r="B307" s="15" t="s">
        <v>497</v>
      </c>
      <c r="C307" s="15" t="s">
        <v>25</v>
      </c>
      <c r="D307" s="5" t="s">
        <v>466</v>
      </c>
      <c r="E307" s="16">
        <v>0</v>
      </c>
      <c r="F307" s="16">
        <v>0</v>
      </c>
      <c r="G307" s="16">
        <v>0</v>
      </c>
      <c r="H307" s="16">
        <v>1</v>
      </c>
      <c r="I307" s="16">
        <v>0</v>
      </c>
      <c r="J307" s="16">
        <v>0</v>
      </c>
      <c r="K307" s="16">
        <f t="shared" si="12"/>
        <v>0</v>
      </c>
      <c r="L307" s="16">
        <v>0</v>
      </c>
      <c r="M307" s="16">
        <f t="shared" si="13"/>
        <v>0</v>
      </c>
      <c r="N307" s="16">
        <v>0</v>
      </c>
      <c r="O307" s="16">
        <f t="shared" si="14"/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V307" s="16">
        <v>308</v>
      </c>
      <c r="W307" s="17">
        <v>0.63290397836830403</v>
      </c>
      <c r="X307" s="8"/>
    </row>
    <row r="308" spans="1:24" x14ac:dyDescent="0.25">
      <c r="A308" s="23" t="s">
        <v>1250</v>
      </c>
      <c r="B308" s="18" t="s">
        <v>498</v>
      </c>
      <c r="C308" s="18" t="s">
        <v>7</v>
      </c>
      <c r="D308" s="5" t="s">
        <v>466</v>
      </c>
      <c r="E308" s="19">
        <v>0</v>
      </c>
      <c r="F308" s="19">
        <v>0</v>
      </c>
      <c r="G308" s="19">
        <v>0</v>
      </c>
      <c r="H308" s="19">
        <v>0</v>
      </c>
      <c r="I308" s="19">
        <v>1</v>
      </c>
      <c r="J308" s="19">
        <v>1</v>
      </c>
      <c r="K308" s="19">
        <f t="shared" si="12"/>
        <v>0</v>
      </c>
      <c r="L308" s="19">
        <v>1</v>
      </c>
      <c r="M308" s="19">
        <f t="shared" si="13"/>
        <v>0</v>
      </c>
      <c r="N308" s="19">
        <v>1</v>
      </c>
      <c r="O308" s="19">
        <f t="shared" si="14"/>
        <v>0</v>
      </c>
      <c r="P308" s="19">
        <v>0</v>
      </c>
      <c r="Q308" s="19">
        <v>0</v>
      </c>
      <c r="R308" s="19">
        <v>0</v>
      </c>
      <c r="S308" s="19">
        <v>1</v>
      </c>
      <c r="T308" s="19">
        <v>0</v>
      </c>
      <c r="U308" t="s">
        <v>499</v>
      </c>
      <c r="V308" s="19">
        <v>309</v>
      </c>
      <c r="W308" s="20">
        <v>0.26160602067588601</v>
      </c>
      <c r="X308" s="8"/>
    </row>
    <row r="309" spans="1:24" x14ac:dyDescent="0.25">
      <c r="A309" s="23" t="s">
        <v>1251</v>
      </c>
      <c r="B309" s="18" t="s">
        <v>500</v>
      </c>
      <c r="C309" s="18" t="s">
        <v>7</v>
      </c>
      <c r="D309" s="5" t="s">
        <v>466</v>
      </c>
      <c r="E309" s="19">
        <v>0</v>
      </c>
      <c r="F309" s="19">
        <v>0</v>
      </c>
      <c r="G309" s="19">
        <v>0</v>
      </c>
      <c r="H309" s="19">
        <v>0</v>
      </c>
      <c r="I309" s="19">
        <v>1</v>
      </c>
      <c r="J309" s="19">
        <v>1</v>
      </c>
      <c r="K309" s="19">
        <f t="shared" si="12"/>
        <v>0</v>
      </c>
      <c r="L309" s="19">
        <v>1</v>
      </c>
      <c r="M309" s="19">
        <f t="shared" si="13"/>
        <v>0</v>
      </c>
      <c r="N309" s="19">
        <v>1</v>
      </c>
      <c r="O309" s="19">
        <f t="shared" si="14"/>
        <v>0</v>
      </c>
      <c r="P309" s="19">
        <v>0</v>
      </c>
      <c r="Q309" s="19">
        <v>0</v>
      </c>
      <c r="R309" s="19">
        <v>0</v>
      </c>
      <c r="S309" s="19">
        <v>1</v>
      </c>
      <c r="T309" s="19">
        <v>0</v>
      </c>
      <c r="U309" t="s">
        <v>501</v>
      </c>
      <c r="V309" s="19">
        <v>310</v>
      </c>
      <c r="W309" s="20">
        <v>0.170002872546863</v>
      </c>
      <c r="X309" s="8"/>
    </row>
    <row r="310" spans="1:24" x14ac:dyDescent="0.25">
      <c r="A310" s="23" t="s">
        <v>1252</v>
      </c>
      <c r="B310" s="18" t="s">
        <v>502</v>
      </c>
      <c r="C310" s="18" t="s">
        <v>7</v>
      </c>
      <c r="D310" s="5" t="s">
        <v>466</v>
      </c>
      <c r="E310" s="19">
        <v>0</v>
      </c>
      <c r="F310" s="19">
        <v>0</v>
      </c>
      <c r="G310" s="19">
        <v>0</v>
      </c>
      <c r="H310" s="19">
        <v>0</v>
      </c>
      <c r="I310" s="19">
        <v>1</v>
      </c>
      <c r="J310" s="19">
        <v>1</v>
      </c>
      <c r="K310" s="19">
        <f t="shared" si="12"/>
        <v>0</v>
      </c>
      <c r="L310" s="19">
        <v>1</v>
      </c>
      <c r="M310" s="19">
        <f t="shared" si="13"/>
        <v>0</v>
      </c>
      <c r="N310" s="19">
        <v>1</v>
      </c>
      <c r="O310" s="19">
        <f t="shared" si="14"/>
        <v>0</v>
      </c>
      <c r="P310" s="19">
        <v>0</v>
      </c>
      <c r="Q310" s="19">
        <v>0</v>
      </c>
      <c r="R310" s="19">
        <v>0</v>
      </c>
      <c r="S310" s="19">
        <v>1</v>
      </c>
      <c r="T310" s="19">
        <v>0</v>
      </c>
      <c r="U310" t="s">
        <v>503</v>
      </c>
      <c r="V310" s="19">
        <v>311</v>
      </c>
      <c r="W310" s="20">
        <v>0.13323270718056801</v>
      </c>
      <c r="X310" s="8"/>
    </row>
    <row r="311" spans="1:24" x14ac:dyDescent="0.25">
      <c r="A311" s="23" t="s">
        <v>1253</v>
      </c>
      <c r="B311" s="18" t="s">
        <v>504</v>
      </c>
      <c r="C311" s="18" t="s">
        <v>7</v>
      </c>
      <c r="D311" s="5" t="s">
        <v>466</v>
      </c>
      <c r="E311" s="19">
        <v>0</v>
      </c>
      <c r="F311" s="19">
        <v>0</v>
      </c>
      <c r="G311" s="19">
        <v>0</v>
      </c>
      <c r="H311" s="19">
        <v>0</v>
      </c>
      <c r="I311" s="19">
        <v>1</v>
      </c>
      <c r="J311" s="19">
        <v>1</v>
      </c>
      <c r="K311" s="19">
        <f t="shared" si="12"/>
        <v>0</v>
      </c>
      <c r="L311" s="19">
        <v>1</v>
      </c>
      <c r="M311" s="19">
        <f t="shared" si="13"/>
        <v>0</v>
      </c>
      <c r="N311" s="19">
        <v>1</v>
      </c>
      <c r="O311" s="19">
        <f t="shared" si="14"/>
        <v>0</v>
      </c>
      <c r="P311" s="19">
        <v>0</v>
      </c>
      <c r="Q311" s="19">
        <v>0</v>
      </c>
      <c r="R311" s="19">
        <v>0</v>
      </c>
      <c r="S311" s="19">
        <v>1</v>
      </c>
      <c r="T311" s="19">
        <v>0</v>
      </c>
      <c r="U311" t="s">
        <v>505</v>
      </c>
      <c r="V311" s="19">
        <v>312</v>
      </c>
      <c r="W311" s="20">
        <v>6.8062377964987E-2</v>
      </c>
      <c r="X311" s="8"/>
    </row>
    <row r="312" spans="1:24" x14ac:dyDescent="0.25">
      <c r="A312" s="23" t="s">
        <v>1254</v>
      </c>
      <c r="B312" s="12" t="s">
        <v>506</v>
      </c>
      <c r="C312" s="12" t="s">
        <v>5</v>
      </c>
      <c r="D312" s="5" t="s">
        <v>466</v>
      </c>
      <c r="E312" s="13">
        <v>0</v>
      </c>
      <c r="F312" s="13">
        <v>0</v>
      </c>
      <c r="G312" s="13">
        <v>1</v>
      </c>
      <c r="H312" s="13">
        <v>0</v>
      </c>
      <c r="I312" s="13">
        <v>0</v>
      </c>
      <c r="J312" s="13">
        <v>0</v>
      </c>
      <c r="K312" s="13">
        <f t="shared" si="12"/>
        <v>0</v>
      </c>
      <c r="L312" s="13">
        <v>0</v>
      </c>
      <c r="M312" s="13">
        <f t="shared" si="13"/>
        <v>0</v>
      </c>
      <c r="N312" s="13">
        <v>0</v>
      </c>
      <c r="O312" s="13">
        <f t="shared" si="14"/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V312" s="13">
        <v>313</v>
      </c>
      <c r="W312" s="14">
        <v>8.4324984764149694E-2</v>
      </c>
      <c r="X312" s="8"/>
    </row>
    <row r="313" spans="1:24" x14ac:dyDescent="0.25">
      <c r="A313" s="23" t="s">
        <v>1255</v>
      </c>
      <c r="B313" s="15" t="s">
        <v>507</v>
      </c>
      <c r="C313" s="15" t="s">
        <v>25</v>
      </c>
      <c r="D313" s="5" t="s">
        <v>466</v>
      </c>
      <c r="E313" s="16">
        <v>0</v>
      </c>
      <c r="F313" s="16">
        <v>0</v>
      </c>
      <c r="G313" s="16">
        <v>0</v>
      </c>
      <c r="H313" s="16">
        <v>1</v>
      </c>
      <c r="I313" s="16">
        <v>0</v>
      </c>
      <c r="J313" s="16">
        <v>0</v>
      </c>
      <c r="K313" s="16">
        <f t="shared" si="12"/>
        <v>0</v>
      </c>
      <c r="L313" s="16">
        <v>0</v>
      </c>
      <c r="M313" s="16">
        <f t="shared" si="13"/>
        <v>0</v>
      </c>
      <c r="N313" s="16">
        <v>0</v>
      </c>
      <c r="O313" s="16">
        <f t="shared" si="14"/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V313" s="16">
        <v>314</v>
      </c>
      <c r="W313" s="17">
        <v>8.4324984764149694E-2</v>
      </c>
      <c r="X313" s="8"/>
    </row>
    <row r="314" spans="1:24" x14ac:dyDescent="0.25">
      <c r="A314" s="23" t="s">
        <v>1256</v>
      </c>
      <c r="B314" s="18" t="s">
        <v>508</v>
      </c>
      <c r="C314" s="18" t="s">
        <v>7</v>
      </c>
      <c r="D314" s="5" t="s">
        <v>466</v>
      </c>
      <c r="E314" s="19">
        <v>0</v>
      </c>
      <c r="F314" s="19">
        <v>0</v>
      </c>
      <c r="G314" s="19">
        <v>0</v>
      </c>
      <c r="H314" s="19">
        <v>0</v>
      </c>
      <c r="I314" s="19">
        <v>1</v>
      </c>
      <c r="J314" s="19">
        <v>1</v>
      </c>
      <c r="K314" s="19">
        <f t="shared" si="12"/>
        <v>0</v>
      </c>
      <c r="L314" s="19">
        <v>1</v>
      </c>
      <c r="M314" s="19">
        <f t="shared" si="13"/>
        <v>0</v>
      </c>
      <c r="N314" s="19">
        <v>1</v>
      </c>
      <c r="O314" s="19">
        <f t="shared" si="14"/>
        <v>0</v>
      </c>
      <c r="P314" s="19">
        <v>0</v>
      </c>
      <c r="Q314" s="19">
        <v>0</v>
      </c>
      <c r="R314" s="19">
        <v>0</v>
      </c>
      <c r="S314" s="19">
        <v>1</v>
      </c>
      <c r="T314" s="19">
        <v>0</v>
      </c>
      <c r="U314" t="s">
        <v>509</v>
      </c>
      <c r="V314" s="19">
        <v>315</v>
      </c>
      <c r="W314" s="20">
        <v>2.79395913153247E-2</v>
      </c>
      <c r="X314" s="8"/>
    </row>
    <row r="315" spans="1:24" x14ac:dyDescent="0.25">
      <c r="A315" s="23" t="s">
        <v>1257</v>
      </c>
      <c r="B315" s="18" t="s">
        <v>510</v>
      </c>
      <c r="C315" s="18" t="s">
        <v>7</v>
      </c>
      <c r="D315" s="5" t="s">
        <v>466</v>
      </c>
      <c r="E315" s="19">
        <v>0</v>
      </c>
      <c r="F315" s="19">
        <v>0</v>
      </c>
      <c r="G315" s="19">
        <v>0</v>
      </c>
      <c r="H315" s="19">
        <v>0</v>
      </c>
      <c r="I315" s="19">
        <v>1</v>
      </c>
      <c r="J315" s="19">
        <v>1</v>
      </c>
      <c r="K315" s="19">
        <f t="shared" si="12"/>
        <v>0</v>
      </c>
      <c r="L315" s="19">
        <v>1</v>
      </c>
      <c r="M315" s="19">
        <f t="shared" si="13"/>
        <v>0</v>
      </c>
      <c r="N315" s="19">
        <v>1</v>
      </c>
      <c r="O315" s="19">
        <f t="shared" si="14"/>
        <v>0</v>
      </c>
      <c r="P315" s="19">
        <v>0</v>
      </c>
      <c r="Q315" s="19">
        <v>0</v>
      </c>
      <c r="R315" s="19">
        <v>0</v>
      </c>
      <c r="S315" s="19">
        <v>1</v>
      </c>
      <c r="T315" s="19">
        <v>1</v>
      </c>
      <c r="U315" t="s">
        <v>511</v>
      </c>
      <c r="V315" s="19">
        <v>316</v>
      </c>
      <c r="W315" s="20">
        <v>5.6385393448824997E-2</v>
      </c>
      <c r="X315" s="8"/>
    </row>
    <row r="316" spans="1:24" x14ac:dyDescent="0.25">
      <c r="A316" s="23" t="s">
        <v>1258</v>
      </c>
      <c r="B316" s="9" t="s">
        <v>512</v>
      </c>
      <c r="C316" s="9" t="s">
        <v>4</v>
      </c>
      <c r="D316" s="5" t="s">
        <v>466</v>
      </c>
      <c r="E316" s="10">
        <v>0</v>
      </c>
      <c r="F316" s="10">
        <v>1</v>
      </c>
      <c r="G316" s="10">
        <v>0</v>
      </c>
      <c r="H316" s="10">
        <v>0</v>
      </c>
      <c r="I316" s="10">
        <v>0</v>
      </c>
      <c r="J316" s="10">
        <v>0</v>
      </c>
      <c r="K316" s="10">
        <f t="shared" si="12"/>
        <v>0</v>
      </c>
      <c r="L316" s="10">
        <v>0</v>
      </c>
      <c r="M316" s="10">
        <f t="shared" si="13"/>
        <v>0</v>
      </c>
      <c r="N316" s="10">
        <v>0</v>
      </c>
      <c r="O316" s="10">
        <f t="shared" si="14"/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V316" s="10">
        <v>317</v>
      </c>
      <c r="W316" s="11">
        <v>7.8511948510420482E-2</v>
      </c>
      <c r="X316" s="8"/>
    </row>
    <row r="317" spans="1:24" x14ac:dyDescent="0.25">
      <c r="A317" s="23" t="s">
        <v>1259</v>
      </c>
      <c r="B317" s="12" t="s">
        <v>513</v>
      </c>
      <c r="C317" s="12" t="s">
        <v>5</v>
      </c>
      <c r="D317" s="5" t="s">
        <v>466</v>
      </c>
      <c r="E317" s="13">
        <v>0</v>
      </c>
      <c r="F317" s="13">
        <v>0</v>
      </c>
      <c r="G317" s="13">
        <v>1</v>
      </c>
      <c r="H317" s="13">
        <v>0</v>
      </c>
      <c r="I317" s="13">
        <v>0</v>
      </c>
      <c r="J317" s="13">
        <v>0</v>
      </c>
      <c r="K317" s="13">
        <f t="shared" si="12"/>
        <v>0</v>
      </c>
      <c r="L317" s="13">
        <v>0</v>
      </c>
      <c r="M317" s="13">
        <f t="shared" si="13"/>
        <v>0</v>
      </c>
      <c r="N317" s="13">
        <v>0</v>
      </c>
      <c r="O317" s="13">
        <f t="shared" si="14"/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V317" s="13">
        <v>318</v>
      </c>
      <c r="W317" s="14">
        <v>7.8511948510420482E-2</v>
      </c>
      <c r="X317" s="8"/>
    </row>
    <row r="318" spans="1:24" x14ac:dyDescent="0.25">
      <c r="A318" s="23" t="s">
        <v>1260</v>
      </c>
      <c r="B318" s="15" t="s">
        <v>514</v>
      </c>
      <c r="C318" s="15" t="s">
        <v>25</v>
      </c>
      <c r="D318" s="5" t="s">
        <v>466</v>
      </c>
      <c r="E318" s="16">
        <v>0</v>
      </c>
      <c r="F318" s="16">
        <v>0</v>
      </c>
      <c r="G318" s="16">
        <v>0</v>
      </c>
      <c r="H318" s="16">
        <v>1</v>
      </c>
      <c r="I318" s="16">
        <v>0</v>
      </c>
      <c r="J318" s="16">
        <v>0</v>
      </c>
      <c r="K318" s="16">
        <f t="shared" si="12"/>
        <v>0</v>
      </c>
      <c r="L318" s="16">
        <v>0</v>
      </c>
      <c r="M318" s="16">
        <f t="shared" si="13"/>
        <v>0</v>
      </c>
      <c r="N318" s="16">
        <v>0</v>
      </c>
      <c r="O318" s="16">
        <f t="shared" si="14"/>
        <v>0</v>
      </c>
      <c r="P318" s="16">
        <v>0</v>
      </c>
      <c r="Q318" s="16">
        <v>0</v>
      </c>
      <c r="R318" s="16">
        <v>0</v>
      </c>
      <c r="S318" s="16">
        <v>0</v>
      </c>
      <c r="T318" s="16">
        <v>0</v>
      </c>
      <c r="V318" s="16">
        <v>319</v>
      </c>
      <c r="W318" s="17">
        <v>7.8511948510420482E-2</v>
      </c>
      <c r="X318" s="8"/>
    </row>
    <row r="319" spans="1:24" x14ac:dyDescent="0.25">
      <c r="A319" s="23" t="s">
        <v>1261</v>
      </c>
      <c r="B319" s="18" t="s">
        <v>515</v>
      </c>
      <c r="C319" s="18" t="s">
        <v>7</v>
      </c>
      <c r="D319" s="5" t="s">
        <v>466</v>
      </c>
      <c r="E319" s="19">
        <v>0</v>
      </c>
      <c r="F319" s="19">
        <v>0</v>
      </c>
      <c r="G319" s="19">
        <v>0</v>
      </c>
      <c r="H319" s="19">
        <v>0</v>
      </c>
      <c r="I319" s="19">
        <v>1</v>
      </c>
      <c r="J319" s="19">
        <v>1</v>
      </c>
      <c r="K319" s="19">
        <f t="shared" si="12"/>
        <v>0</v>
      </c>
      <c r="L319" s="19">
        <v>1</v>
      </c>
      <c r="M319" s="19">
        <f t="shared" si="13"/>
        <v>0</v>
      </c>
      <c r="N319" s="19">
        <v>1</v>
      </c>
      <c r="O319" s="19">
        <f t="shared" si="14"/>
        <v>0</v>
      </c>
      <c r="P319" s="19">
        <v>0</v>
      </c>
      <c r="Q319" s="19">
        <v>0</v>
      </c>
      <c r="R319" s="19">
        <v>0</v>
      </c>
      <c r="S319" s="19">
        <v>1</v>
      </c>
      <c r="T319" s="19">
        <v>0</v>
      </c>
      <c r="U319" t="s">
        <v>516</v>
      </c>
      <c r="V319" s="19">
        <v>320</v>
      </c>
      <c r="W319" s="20">
        <v>3.56079030145028E-3</v>
      </c>
      <c r="X319" s="8"/>
    </row>
    <row r="320" spans="1:24" x14ac:dyDescent="0.25">
      <c r="A320" s="23" t="s">
        <v>1262</v>
      </c>
      <c r="B320" s="18" t="s">
        <v>517</v>
      </c>
      <c r="C320" s="18" t="s">
        <v>7</v>
      </c>
      <c r="D320" s="5" t="s">
        <v>466</v>
      </c>
      <c r="E320" s="19">
        <v>0</v>
      </c>
      <c r="F320" s="19">
        <v>0</v>
      </c>
      <c r="G320" s="19">
        <v>0</v>
      </c>
      <c r="H320" s="19">
        <v>0</v>
      </c>
      <c r="I320" s="19">
        <v>1</v>
      </c>
      <c r="J320" s="19">
        <v>1</v>
      </c>
      <c r="K320" s="19">
        <f t="shared" si="12"/>
        <v>0</v>
      </c>
      <c r="L320" s="19">
        <v>1</v>
      </c>
      <c r="M320" s="19">
        <f t="shared" si="13"/>
        <v>0</v>
      </c>
      <c r="N320" s="19">
        <v>1</v>
      </c>
      <c r="O320" s="19">
        <f t="shared" si="14"/>
        <v>0</v>
      </c>
      <c r="P320" s="19">
        <v>0</v>
      </c>
      <c r="Q320" s="19">
        <v>0</v>
      </c>
      <c r="R320" s="19">
        <v>0</v>
      </c>
      <c r="S320" s="19">
        <v>1</v>
      </c>
      <c r="T320" s="19">
        <v>1</v>
      </c>
      <c r="U320" t="s">
        <v>518</v>
      </c>
      <c r="V320" s="19">
        <v>321</v>
      </c>
      <c r="W320" s="20">
        <v>4.1124667030926897E-2</v>
      </c>
      <c r="X320" s="8"/>
    </row>
    <row r="321" spans="1:24" x14ac:dyDescent="0.25">
      <c r="A321" s="23" t="s">
        <v>1263</v>
      </c>
      <c r="B321" s="18" t="s">
        <v>519</v>
      </c>
      <c r="C321" s="18" t="s">
        <v>7</v>
      </c>
      <c r="D321" s="5" t="s">
        <v>466</v>
      </c>
      <c r="E321" s="19">
        <v>0</v>
      </c>
      <c r="F321" s="19">
        <v>0</v>
      </c>
      <c r="G321" s="19">
        <v>0</v>
      </c>
      <c r="H321" s="19">
        <v>0</v>
      </c>
      <c r="I321" s="19">
        <v>1</v>
      </c>
      <c r="J321" s="19">
        <v>1</v>
      </c>
      <c r="K321" s="19">
        <f t="shared" ref="K321:K384" si="15">IF(I321=1,IF(J321=1,0,1),0)</f>
        <v>0</v>
      </c>
      <c r="L321" s="19">
        <v>1</v>
      </c>
      <c r="M321" s="19">
        <f t="shared" ref="M321:M384" si="16">IF(I321=1,IF(L321=1,0,1),0)</f>
        <v>0</v>
      </c>
      <c r="N321" s="19">
        <v>1</v>
      </c>
      <c r="O321" s="19">
        <f t="shared" ref="O321:O384" si="17">IF(I321=1,IF(N321=1,0,1),0)</f>
        <v>0</v>
      </c>
      <c r="P321" s="19">
        <v>0</v>
      </c>
      <c r="Q321" s="19">
        <v>0</v>
      </c>
      <c r="R321" s="19">
        <v>0</v>
      </c>
      <c r="S321" s="19">
        <v>1</v>
      </c>
      <c r="T321" s="19">
        <v>1</v>
      </c>
      <c r="U321" t="s">
        <v>520</v>
      </c>
      <c r="V321" s="19">
        <v>322</v>
      </c>
      <c r="W321" s="20">
        <v>3.3826491178043303E-2</v>
      </c>
      <c r="X321" s="8"/>
    </row>
    <row r="322" spans="1:24" x14ac:dyDescent="0.25">
      <c r="A322" s="23" t="s">
        <v>1264</v>
      </c>
      <c r="B322" s="9" t="s">
        <v>521</v>
      </c>
      <c r="C322" s="9" t="s">
        <v>4</v>
      </c>
      <c r="D322" s="5" t="s">
        <v>466</v>
      </c>
      <c r="E322" s="10">
        <v>0</v>
      </c>
      <c r="F322" s="10">
        <v>1</v>
      </c>
      <c r="G322" s="10">
        <v>0</v>
      </c>
      <c r="H322" s="10">
        <v>0</v>
      </c>
      <c r="I322" s="10">
        <v>0</v>
      </c>
      <c r="J322" s="10">
        <v>0</v>
      </c>
      <c r="K322" s="10">
        <f t="shared" si="15"/>
        <v>0</v>
      </c>
      <c r="L322" s="10">
        <v>0</v>
      </c>
      <c r="M322" s="10">
        <f t="shared" si="16"/>
        <v>0</v>
      </c>
      <c r="N322" s="10">
        <v>0</v>
      </c>
      <c r="O322" s="10">
        <f t="shared" si="17"/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/>
      <c r="V322" s="10">
        <v>323</v>
      </c>
      <c r="W322" s="11">
        <v>6.0344713372985678E-2</v>
      </c>
      <c r="X322" s="8"/>
    </row>
    <row r="323" spans="1:24" x14ac:dyDescent="0.25">
      <c r="A323" s="23" t="s">
        <v>1265</v>
      </c>
      <c r="B323" s="12" t="s">
        <v>522</v>
      </c>
      <c r="C323" s="12" t="s">
        <v>5</v>
      </c>
      <c r="D323" s="5" t="s">
        <v>466</v>
      </c>
      <c r="E323" s="13">
        <v>0</v>
      </c>
      <c r="F323" s="13">
        <v>0</v>
      </c>
      <c r="G323" s="13">
        <v>1</v>
      </c>
      <c r="H323" s="13">
        <v>0</v>
      </c>
      <c r="I323" s="13">
        <v>0</v>
      </c>
      <c r="J323" s="13">
        <v>0</v>
      </c>
      <c r="K323" s="13">
        <f t="shared" si="15"/>
        <v>0</v>
      </c>
      <c r="L323" s="13">
        <v>0</v>
      </c>
      <c r="M323" s="13">
        <f t="shared" si="16"/>
        <v>0</v>
      </c>
      <c r="N323" s="13">
        <v>0</v>
      </c>
      <c r="O323" s="13">
        <f t="shared" si="17"/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V323" s="13">
        <v>324</v>
      </c>
      <c r="W323" s="14">
        <v>6.0344713372985678E-2</v>
      </c>
      <c r="X323" s="8"/>
    </row>
    <row r="324" spans="1:24" x14ac:dyDescent="0.25">
      <c r="A324" s="23" t="s">
        <v>1266</v>
      </c>
      <c r="B324" s="15" t="s">
        <v>523</v>
      </c>
      <c r="C324" s="15" t="s">
        <v>25</v>
      </c>
      <c r="D324" s="5" t="s">
        <v>466</v>
      </c>
      <c r="E324" s="16">
        <v>0</v>
      </c>
      <c r="F324" s="16">
        <v>0</v>
      </c>
      <c r="G324" s="16">
        <v>0</v>
      </c>
      <c r="H324" s="16">
        <v>1</v>
      </c>
      <c r="I324" s="16">
        <v>0</v>
      </c>
      <c r="J324" s="16">
        <v>0</v>
      </c>
      <c r="K324" s="16">
        <f t="shared" si="15"/>
        <v>0</v>
      </c>
      <c r="L324" s="16">
        <v>0</v>
      </c>
      <c r="M324" s="16">
        <f t="shared" si="16"/>
        <v>0</v>
      </c>
      <c r="N324" s="16">
        <v>0</v>
      </c>
      <c r="O324" s="16">
        <f t="shared" si="17"/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V324" s="16">
        <v>325</v>
      </c>
      <c r="W324" s="17">
        <v>6.0344713372985678E-2</v>
      </c>
      <c r="X324" s="8"/>
    </row>
    <row r="325" spans="1:24" x14ac:dyDescent="0.25">
      <c r="A325" s="23" t="s">
        <v>1267</v>
      </c>
      <c r="B325" s="18" t="s">
        <v>524</v>
      </c>
      <c r="C325" s="18" t="s">
        <v>7</v>
      </c>
      <c r="D325" s="5" t="s">
        <v>466</v>
      </c>
      <c r="E325" s="19">
        <v>0</v>
      </c>
      <c r="F325" s="19">
        <v>0</v>
      </c>
      <c r="G325" s="19">
        <v>0</v>
      </c>
      <c r="H325" s="19">
        <v>0</v>
      </c>
      <c r="I325" s="19">
        <v>1</v>
      </c>
      <c r="J325" s="19">
        <v>1</v>
      </c>
      <c r="K325" s="19">
        <f t="shared" si="15"/>
        <v>0</v>
      </c>
      <c r="L325" s="19">
        <v>1</v>
      </c>
      <c r="M325" s="19">
        <f t="shared" si="16"/>
        <v>0</v>
      </c>
      <c r="N325" s="19">
        <v>1</v>
      </c>
      <c r="O325" s="19">
        <f t="shared" si="17"/>
        <v>0</v>
      </c>
      <c r="P325" s="19">
        <v>0</v>
      </c>
      <c r="Q325" s="19">
        <v>0</v>
      </c>
      <c r="R325" s="19">
        <v>0</v>
      </c>
      <c r="S325" s="19">
        <v>1</v>
      </c>
      <c r="T325" s="19">
        <v>0</v>
      </c>
      <c r="U325" t="s">
        <v>525</v>
      </c>
      <c r="V325" s="19">
        <v>326</v>
      </c>
      <c r="W325" s="20">
        <v>6.8173100384603799E-3</v>
      </c>
      <c r="X325" s="8"/>
    </row>
    <row r="326" spans="1:24" x14ac:dyDescent="0.25">
      <c r="A326" s="23" t="s">
        <v>1268</v>
      </c>
      <c r="B326" s="18" t="s">
        <v>526</v>
      </c>
      <c r="C326" s="18" t="s">
        <v>7</v>
      </c>
      <c r="D326" s="5" t="s">
        <v>466</v>
      </c>
      <c r="E326" s="19">
        <v>0</v>
      </c>
      <c r="F326" s="19">
        <v>0</v>
      </c>
      <c r="G326" s="19">
        <v>0</v>
      </c>
      <c r="H326" s="19">
        <v>0</v>
      </c>
      <c r="I326" s="19">
        <v>1</v>
      </c>
      <c r="J326" s="19">
        <v>1</v>
      </c>
      <c r="K326" s="19">
        <f t="shared" si="15"/>
        <v>0</v>
      </c>
      <c r="L326" s="19">
        <v>1</v>
      </c>
      <c r="M326" s="19">
        <f t="shared" si="16"/>
        <v>0</v>
      </c>
      <c r="N326" s="19">
        <v>1</v>
      </c>
      <c r="O326" s="19">
        <f t="shared" si="17"/>
        <v>0</v>
      </c>
      <c r="P326" s="19">
        <v>0</v>
      </c>
      <c r="Q326" s="19">
        <v>0</v>
      </c>
      <c r="R326" s="19">
        <v>0</v>
      </c>
      <c r="S326" s="19">
        <v>1</v>
      </c>
      <c r="T326" s="19">
        <v>1</v>
      </c>
      <c r="U326" t="s">
        <v>527</v>
      </c>
      <c r="V326" s="19">
        <v>327</v>
      </c>
      <c r="W326" s="20">
        <v>5.3527403334525298E-2</v>
      </c>
      <c r="X326" s="8"/>
    </row>
    <row r="327" spans="1:24" x14ac:dyDescent="0.25">
      <c r="A327" s="23" t="s">
        <v>1269</v>
      </c>
      <c r="B327" s="9" t="s">
        <v>528</v>
      </c>
      <c r="C327" s="9" t="s">
        <v>4</v>
      </c>
      <c r="D327" s="5" t="s">
        <v>466</v>
      </c>
      <c r="E327" s="10">
        <v>0</v>
      </c>
      <c r="F327" s="10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f t="shared" si="15"/>
        <v>0</v>
      </c>
      <c r="L327" s="10">
        <v>0</v>
      </c>
      <c r="M327" s="10">
        <f t="shared" si="16"/>
        <v>0</v>
      </c>
      <c r="N327" s="10">
        <v>0</v>
      </c>
      <c r="O327" s="10">
        <f t="shared" si="17"/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V327" s="10">
        <v>328</v>
      </c>
      <c r="W327" s="11">
        <v>3.5480404006620461</v>
      </c>
      <c r="X327" s="8"/>
    </row>
    <row r="328" spans="1:24" x14ac:dyDescent="0.25">
      <c r="A328" s="23" t="s">
        <v>1270</v>
      </c>
      <c r="B328" s="12" t="s">
        <v>529</v>
      </c>
      <c r="C328" s="12" t="s">
        <v>5</v>
      </c>
      <c r="D328" s="5" t="s">
        <v>466</v>
      </c>
      <c r="E328" s="13">
        <v>0</v>
      </c>
      <c r="F328" s="13">
        <v>0</v>
      </c>
      <c r="G328" s="13">
        <v>1</v>
      </c>
      <c r="H328" s="13">
        <v>0</v>
      </c>
      <c r="I328" s="13">
        <v>0</v>
      </c>
      <c r="J328" s="13">
        <v>0</v>
      </c>
      <c r="K328" s="13">
        <f t="shared" si="15"/>
        <v>0</v>
      </c>
      <c r="L328" s="13">
        <v>0</v>
      </c>
      <c r="M328" s="13">
        <f t="shared" si="16"/>
        <v>0</v>
      </c>
      <c r="N328" s="13">
        <v>0</v>
      </c>
      <c r="O328" s="13">
        <f t="shared" si="17"/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/>
      <c r="V328" s="13">
        <v>329</v>
      </c>
      <c r="W328" s="14">
        <v>1.8172425162279962</v>
      </c>
      <c r="X328" s="8"/>
    </row>
    <row r="329" spans="1:24" x14ac:dyDescent="0.25">
      <c r="A329" s="23" t="s">
        <v>1271</v>
      </c>
      <c r="B329" s="15" t="s">
        <v>530</v>
      </c>
      <c r="C329" s="15" t="s">
        <v>25</v>
      </c>
      <c r="D329" s="5" t="s">
        <v>466</v>
      </c>
      <c r="E329" s="16">
        <v>0</v>
      </c>
      <c r="F329" s="16">
        <v>0</v>
      </c>
      <c r="G329" s="16">
        <v>0</v>
      </c>
      <c r="H329" s="16">
        <v>1</v>
      </c>
      <c r="I329" s="16">
        <v>0</v>
      </c>
      <c r="J329" s="16">
        <v>0</v>
      </c>
      <c r="K329" s="16">
        <f t="shared" si="15"/>
        <v>0</v>
      </c>
      <c r="L329" s="16">
        <v>0</v>
      </c>
      <c r="M329" s="16">
        <f t="shared" si="16"/>
        <v>0</v>
      </c>
      <c r="N329" s="16">
        <v>0</v>
      </c>
      <c r="O329" s="16">
        <f t="shared" si="17"/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V329" s="16">
        <v>330</v>
      </c>
      <c r="W329" s="17">
        <v>1.8172425162279962</v>
      </c>
      <c r="X329" s="8"/>
    </row>
    <row r="330" spans="1:24" x14ac:dyDescent="0.25">
      <c r="A330" s="23" t="s">
        <v>1272</v>
      </c>
      <c r="B330" s="18" t="s">
        <v>531</v>
      </c>
      <c r="C330" s="18" t="s">
        <v>7</v>
      </c>
      <c r="D330" s="5" t="s">
        <v>466</v>
      </c>
      <c r="E330" s="19">
        <v>0</v>
      </c>
      <c r="F330" s="19">
        <v>0</v>
      </c>
      <c r="G330" s="19">
        <v>0</v>
      </c>
      <c r="H330" s="19">
        <v>0</v>
      </c>
      <c r="I330" s="19">
        <v>1</v>
      </c>
      <c r="J330" s="19">
        <v>1</v>
      </c>
      <c r="K330" s="19">
        <f t="shared" si="15"/>
        <v>0</v>
      </c>
      <c r="L330" s="19">
        <v>1</v>
      </c>
      <c r="M330" s="19">
        <f t="shared" si="16"/>
        <v>0</v>
      </c>
      <c r="N330" s="19">
        <v>1</v>
      </c>
      <c r="O330" s="19">
        <f t="shared" si="17"/>
        <v>0</v>
      </c>
      <c r="P330" s="19">
        <v>0</v>
      </c>
      <c r="Q330" s="19">
        <v>0</v>
      </c>
      <c r="R330" s="19">
        <v>0</v>
      </c>
      <c r="S330" s="19">
        <v>1</v>
      </c>
      <c r="T330" s="19">
        <v>0</v>
      </c>
      <c r="U330" t="s">
        <v>532</v>
      </c>
      <c r="V330" s="19">
        <v>331</v>
      </c>
      <c r="W330" s="20">
        <v>0.76959976889581505</v>
      </c>
      <c r="X330" s="8"/>
    </row>
    <row r="331" spans="1:24" x14ac:dyDescent="0.25">
      <c r="A331" s="23" t="s">
        <v>1273</v>
      </c>
      <c r="B331" s="18" t="s">
        <v>533</v>
      </c>
      <c r="C331" s="18" t="s">
        <v>7</v>
      </c>
      <c r="D331" s="5" t="s">
        <v>466</v>
      </c>
      <c r="E331" s="19">
        <v>0</v>
      </c>
      <c r="F331" s="19">
        <v>0</v>
      </c>
      <c r="G331" s="19">
        <v>0</v>
      </c>
      <c r="H331" s="19">
        <v>0</v>
      </c>
      <c r="I331" s="19">
        <v>1</v>
      </c>
      <c r="J331" s="19">
        <v>1</v>
      </c>
      <c r="K331" s="19">
        <f t="shared" si="15"/>
        <v>0</v>
      </c>
      <c r="L331" s="19">
        <v>1</v>
      </c>
      <c r="M331" s="19">
        <f t="shared" si="16"/>
        <v>0</v>
      </c>
      <c r="N331" s="19">
        <v>1</v>
      </c>
      <c r="O331" s="19">
        <f t="shared" si="17"/>
        <v>0</v>
      </c>
      <c r="P331" s="19">
        <v>0</v>
      </c>
      <c r="Q331" s="19">
        <v>0</v>
      </c>
      <c r="R331" s="19">
        <v>0</v>
      </c>
      <c r="S331" s="19">
        <v>1</v>
      </c>
      <c r="T331" s="19">
        <v>0</v>
      </c>
      <c r="U331" t="s">
        <v>534</v>
      </c>
      <c r="V331" s="19">
        <v>332</v>
      </c>
      <c r="W331" s="20">
        <v>0.24067771167876001</v>
      </c>
      <c r="X331" s="8"/>
    </row>
    <row r="332" spans="1:24" x14ac:dyDescent="0.25">
      <c r="A332" s="23" t="s">
        <v>1274</v>
      </c>
      <c r="B332" s="18" t="s">
        <v>535</v>
      </c>
      <c r="C332" s="18" t="s">
        <v>7</v>
      </c>
      <c r="D332" s="5" t="s">
        <v>466</v>
      </c>
      <c r="E332" s="19">
        <v>0</v>
      </c>
      <c r="F332" s="19">
        <v>0</v>
      </c>
      <c r="G332" s="19">
        <v>0</v>
      </c>
      <c r="H332" s="19">
        <v>0</v>
      </c>
      <c r="I332" s="19">
        <v>1</v>
      </c>
      <c r="J332" s="19">
        <v>1</v>
      </c>
      <c r="K332" s="19">
        <f t="shared" si="15"/>
        <v>0</v>
      </c>
      <c r="L332" s="19">
        <v>1</v>
      </c>
      <c r="M332" s="19">
        <f t="shared" si="16"/>
        <v>0</v>
      </c>
      <c r="N332" s="19">
        <v>1</v>
      </c>
      <c r="O332" s="19">
        <f t="shared" si="17"/>
        <v>0</v>
      </c>
      <c r="P332" s="19">
        <v>0</v>
      </c>
      <c r="Q332" s="19">
        <v>0</v>
      </c>
      <c r="R332" s="19">
        <v>0</v>
      </c>
      <c r="S332" s="19">
        <v>1</v>
      </c>
      <c r="T332" s="19">
        <v>0</v>
      </c>
      <c r="U332" t="s">
        <v>536</v>
      </c>
      <c r="V332" s="19">
        <v>333</v>
      </c>
      <c r="W332" s="20">
        <v>0.14334866892697101</v>
      </c>
      <c r="X332" s="8"/>
    </row>
    <row r="333" spans="1:24" x14ac:dyDescent="0.25">
      <c r="A333" s="23" t="s">
        <v>1275</v>
      </c>
      <c r="B333" s="18" t="s">
        <v>537</v>
      </c>
      <c r="C333" s="18" t="s">
        <v>7</v>
      </c>
      <c r="D333" s="5" t="s">
        <v>466</v>
      </c>
      <c r="E333" s="19">
        <v>0</v>
      </c>
      <c r="F333" s="19">
        <v>0</v>
      </c>
      <c r="G333" s="19">
        <v>0</v>
      </c>
      <c r="H333" s="19">
        <v>0</v>
      </c>
      <c r="I333" s="19">
        <v>1</v>
      </c>
      <c r="J333" s="19">
        <v>1</v>
      </c>
      <c r="K333" s="19">
        <f t="shared" si="15"/>
        <v>0</v>
      </c>
      <c r="L333" s="19">
        <v>1</v>
      </c>
      <c r="M333" s="19">
        <f t="shared" si="16"/>
        <v>0</v>
      </c>
      <c r="N333" s="19">
        <v>1</v>
      </c>
      <c r="O333" s="19">
        <f t="shared" si="17"/>
        <v>0</v>
      </c>
      <c r="P333" s="19">
        <v>0</v>
      </c>
      <c r="Q333" s="19">
        <v>0</v>
      </c>
      <c r="R333" s="19">
        <v>0</v>
      </c>
      <c r="S333" s="19">
        <v>1</v>
      </c>
      <c r="T333" s="19">
        <v>0</v>
      </c>
      <c r="U333" t="s">
        <v>538</v>
      </c>
      <c r="V333" s="19">
        <v>334</v>
      </c>
      <c r="W333" s="20">
        <v>5.0188581307261997E-2</v>
      </c>
      <c r="X333" s="8"/>
    </row>
    <row r="334" spans="1:24" x14ac:dyDescent="0.25">
      <c r="A334" s="23" t="s">
        <v>1276</v>
      </c>
      <c r="B334" s="18" t="s">
        <v>539</v>
      </c>
      <c r="C334" s="18" t="s">
        <v>7</v>
      </c>
      <c r="D334" s="5" t="s">
        <v>466</v>
      </c>
      <c r="E334" s="19">
        <v>0</v>
      </c>
      <c r="F334" s="19">
        <v>0</v>
      </c>
      <c r="G334" s="19">
        <v>0</v>
      </c>
      <c r="H334" s="19">
        <v>0</v>
      </c>
      <c r="I334" s="19">
        <v>1</v>
      </c>
      <c r="J334" s="19">
        <v>1</v>
      </c>
      <c r="K334" s="19">
        <f t="shared" si="15"/>
        <v>0</v>
      </c>
      <c r="L334" s="19">
        <v>1</v>
      </c>
      <c r="M334" s="19">
        <f t="shared" si="16"/>
        <v>0</v>
      </c>
      <c r="N334" s="19">
        <v>1</v>
      </c>
      <c r="O334" s="19">
        <f t="shared" si="17"/>
        <v>0</v>
      </c>
      <c r="P334" s="19">
        <v>0</v>
      </c>
      <c r="Q334" s="19">
        <v>0</v>
      </c>
      <c r="R334" s="19">
        <v>0</v>
      </c>
      <c r="S334" s="19">
        <v>1</v>
      </c>
      <c r="T334" s="19">
        <v>0</v>
      </c>
      <c r="U334" t="s">
        <v>540</v>
      </c>
      <c r="V334" s="19">
        <v>335</v>
      </c>
      <c r="W334" s="20">
        <v>9.2684336058090303E-2</v>
      </c>
      <c r="X334" s="8"/>
    </row>
    <row r="335" spans="1:24" x14ac:dyDescent="0.25">
      <c r="A335" s="23" t="s">
        <v>1277</v>
      </c>
      <c r="B335" s="18" t="s">
        <v>541</v>
      </c>
      <c r="C335" s="18" t="s">
        <v>7</v>
      </c>
      <c r="D335" s="5" t="s">
        <v>466</v>
      </c>
      <c r="E335" s="19">
        <v>0</v>
      </c>
      <c r="F335" s="19">
        <v>0</v>
      </c>
      <c r="G335" s="19">
        <v>0</v>
      </c>
      <c r="H335" s="19">
        <v>0</v>
      </c>
      <c r="I335" s="19">
        <v>1</v>
      </c>
      <c r="J335" s="19">
        <v>1</v>
      </c>
      <c r="K335" s="19">
        <f t="shared" si="15"/>
        <v>0</v>
      </c>
      <c r="L335" s="19">
        <v>1</v>
      </c>
      <c r="M335" s="19">
        <f t="shared" si="16"/>
        <v>0</v>
      </c>
      <c r="N335" s="19">
        <v>1</v>
      </c>
      <c r="O335" s="19">
        <f t="shared" si="17"/>
        <v>0</v>
      </c>
      <c r="P335" s="19">
        <v>0</v>
      </c>
      <c r="Q335" s="19">
        <v>0</v>
      </c>
      <c r="R335" s="19">
        <v>0</v>
      </c>
      <c r="S335" s="19">
        <v>1</v>
      </c>
      <c r="T335" s="19">
        <v>0</v>
      </c>
      <c r="U335" t="s">
        <v>542</v>
      </c>
      <c r="V335" s="19">
        <v>336</v>
      </c>
      <c r="W335" s="20">
        <v>0.26511683040304301</v>
      </c>
      <c r="X335" s="8"/>
    </row>
    <row r="336" spans="1:24" x14ac:dyDescent="0.25">
      <c r="A336" s="23" t="s">
        <v>1278</v>
      </c>
      <c r="B336" s="18" t="s">
        <v>543</v>
      </c>
      <c r="C336" s="18" t="s">
        <v>7</v>
      </c>
      <c r="D336" s="5" t="s">
        <v>466</v>
      </c>
      <c r="E336" s="19">
        <v>0</v>
      </c>
      <c r="F336" s="19">
        <v>0</v>
      </c>
      <c r="G336" s="19">
        <v>0</v>
      </c>
      <c r="H336" s="19">
        <v>0</v>
      </c>
      <c r="I336" s="19">
        <v>1</v>
      </c>
      <c r="J336" s="19">
        <v>1</v>
      </c>
      <c r="K336" s="19">
        <f t="shared" si="15"/>
        <v>0</v>
      </c>
      <c r="L336" s="19">
        <v>1</v>
      </c>
      <c r="M336" s="19">
        <f t="shared" si="16"/>
        <v>0</v>
      </c>
      <c r="N336" s="19">
        <v>1</v>
      </c>
      <c r="O336" s="19">
        <f t="shared" si="17"/>
        <v>0</v>
      </c>
      <c r="P336" s="19">
        <v>0</v>
      </c>
      <c r="Q336" s="19">
        <v>0</v>
      </c>
      <c r="R336" s="19">
        <v>0</v>
      </c>
      <c r="S336" s="19">
        <v>1</v>
      </c>
      <c r="T336" s="19">
        <v>0</v>
      </c>
      <c r="U336" t="s">
        <v>544</v>
      </c>
      <c r="V336" s="19">
        <v>337</v>
      </c>
      <c r="W336" s="20">
        <v>2.0048215503683998E-2</v>
      </c>
      <c r="X336" s="8"/>
    </row>
    <row r="337" spans="1:24" x14ac:dyDescent="0.25">
      <c r="A337" s="23" t="s">
        <v>1279</v>
      </c>
      <c r="B337" s="18" t="s">
        <v>545</v>
      </c>
      <c r="C337" s="18" t="s">
        <v>7</v>
      </c>
      <c r="D337" s="5" t="s">
        <v>466</v>
      </c>
      <c r="E337" s="19">
        <v>0</v>
      </c>
      <c r="F337" s="19">
        <v>0</v>
      </c>
      <c r="G337" s="19">
        <v>0</v>
      </c>
      <c r="H337" s="19">
        <v>0</v>
      </c>
      <c r="I337" s="19">
        <v>1</v>
      </c>
      <c r="J337" s="19">
        <v>1</v>
      </c>
      <c r="K337" s="19">
        <f t="shared" si="15"/>
        <v>0</v>
      </c>
      <c r="L337" s="19">
        <v>1</v>
      </c>
      <c r="M337" s="19">
        <f t="shared" si="16"/>
        <v>0</v>
      </c>
      <c r="N337" s="19">
        <v>1</v>
      </c>
      <c r="O337" s="19">
        <f t="shared" si="17"/>
        <v>0</v>
      </c>
      <c r="P337" s="19">
        <v>0</v>
      </c>
      <c r="Q337" s="19">
        <v>0</v>
      </c>
      <c r="R337" s="19">
        <v>0</v>
      </c>
      <c r="S337" s="19">
        <v>1</v>
      </c>
      <c r="T337" s="19">
        <v>0</v>
      </c>
      <c r="U337" t="s">
        <v>546</v>
      </c>
      <c r="V337" s="19">
        <v>338</v>
      </c>
      <c r="W337" s="20">
        <v>3.5389440259536303E-2</v>
      </c>
      <c r="X337" s="8"/>
    </row>
    <row r="338" spans="1:24" x14ac:dyDescent="0.25">
      <c r="A338" s="23" t="s">
        <v>1280</v>
      </c>
      <c r="B338" s="18" t="s">
        <v>547</v>
      </c>
      <c r="C338" s="18" t="s">
        <v>7</v>
      </c>
      <c r="D338" s="5" t="s">
        <v>466</v>
      </c>
      <c r="E338" s="19">
        <v>0</v>
      </c>
      <c r="F338" s="19">
        <v>0</v>
      </c>
      <c r="G338" s="19">
        <v>0</v>
      </c>
      <c r="H338" s="19">
        <v>0</v>
      </c>
      <c r="I338" s="19">
        <v>1</v>
      </c>
      <c r="J338" s="19">
        <v>1</v>
      </c>
      <c r="K338" s="19">
        <f t="shared" si="15"/>
        <v>0</v>
      </c>
      <c r="L338" s="19">
        <v>1</v>
      </c>
      <c r="M338" s="19">
        <f t="shared" si="16"/>
        <v>0</v>
      </c>
      <c r="N338" s="19">
        <v>1</v>
      </c>
      <c r="O338" s="19">
        <f t="shared" si="17"/>
        <v>0</v>
      </c>
      <c r="P338" s="19">
        <v>0</v>
      </c>
      <c r="Q338" s="19">
        <v>0</v>
      </c>
      <c r="R338" s="19">
        <v>0</v>
      </c>
      <c r="S338" s="19">
        <v>1</v>
      </c>
      <c r="T338" s="19">
        <v>1</v>
      </c>
      <c r="U338" t="s">
        <v>548</v>
      </c>
      <c r="V338" s="19">
        <v>339</v>
      </c>
      <c r="W338" s="20">
        <v>6.6243333481958502E-2</v>
      </c>
      <c r="X338" s="8"/>
    </row>
    <row r="339" spans="1:24" x14ac:dyDescent="0.25">
      <c r="A339" s="23" t="s">
        <v>1281</v>
      </c>
      <c r="B339" s="18" t="s">
        <v>549</v>
      </c>
      <c r="C339" s="18" t="s">
        <v>7</v>
      </c>
      <c r="D339" s="5" t="s">
        <v>466</v>
      </c>
      <c r="E339" s="19">
        <v>0</v>
      </c>
      <c r="F339" s="19">
        <v>0</v>
      </c>
      <c r="G339" s="19">
        <v>0</v>
      </c>
      <c r="H339" s="19">
        <v>0</v>
      </c>
      <c r="I339" s="19">
        <v>1</v>
      </c>
      <c r="J339" s="19">
        <v>1</v>
      </c>
      <c r="K339" s="19">
        <f t="shared" si="15"/>
        <v>0</v>
      </c>
      <c r="L339" s="19">
        <v>1</v>
      </c>
      <c r="M339" s="19">
        <f t="shared" si="16"/>
        <v>0</v>
      </c>
      <c r="N339" s="19">
        <v>1</v>
      </c>
      <c r="O339" s="19">
        <f t="shared" si="17"/>
        <v>0</v>
      </c>
      <c r="P339" s="19">
        <v>0</v>
      </c>
      <c r="Q339" s="19">
        <v>0</v>
      </c>
      <c r="R339" s="19">
        <v>0</v>
      </c>
      <c r="S339" s="19">
        <v>1</v>
      </c>
      <c r="T339" s="19">
        <v>1</v>
      </c>
      <c r="U339" t="s">
        <v>550</v>
      </c>
      <c r="V339" s="19">
        <v>340</v>
      </c>
      <c r="W339" s="20">
        <v>0.13394562971287599</v>
      </c>
      <c r="X339" s="8"/>
    </row>
    <row r="340" spans="1:24" x14ac:dyDescent="0.25">
      <c r="A340" s="23" t="s">
        <v>1282</v>
      </c>
      <c r="B340" s="12" t="s">
        <v>551</v>
      </c>
      <c r="C340" s="12" t="s">
        <v>5</v>
      </c>
      <c r="D340" s="5" t="s">
        <v>466</v>
      </c>
      <c r="E340" s="13">
        <v>0</v>
      </c>
      <c r="F340" s="13">
        <v>0</v>
      </c>
      <c r="G340" s="13">
        <v>1</v>
      </c>
      <c r="H340" s="13">
        <v>0</v>
      </c>
      <c r="I340" s="13">
        <v>0</v>
      </c>
      <c r="J340" s="13">
        <v>0</v>
      </c>
      <c r="K340" s="13">
        <f t="shared" si="15"/>
        <v>0</v>
      </c>
      <c r="L340" s="13">
        <v>0</v>
      </c>
      <c r="M340" s="13">
        <f t="shared" si="16"/>
        <v>0</v>
      </c>
      <c r="N340" s="13">
        <v>0</v>
      </c>
      <c r="O340" s="13">
        <f t="shared" si="17"/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V340" s="13">
        <v>341</v>
      </c>
      <c r="W340" s="14">
        <v>1.7307978844340499</v>
      </c>
      <c r="X340" s="8"/>
    </row>
    <row r="341" spans="1:24" x14ac:dyDescent="0.25">
      <c r="A341" s="23" t="s">
        <v>1283</v>
      </c>
      <c r="B341" s="15" t="s">
        <v>552</v>
      </c>
      <c r="C341" s="15" t="s">
        <v>25</v>
      </c>
      <c r="D341" s="5" t="s">
        <v>466</v>
      </c>
      <c r="E341" s="16">
        <v>0</v>
      </c>
      <c r="F341" s="16">
        <v>0</v>
      </c>
      <c r="G341" s="16">
        <v>0</v>
      </c>
      <c r="H341" s="16">
        <v>1</v>
      </c>
      <c r="I341" s="16">
        <v>0</v>
      </c>
      <c r="J341" s="16">
        <v>0</v>
      </c>
      <c r="K341" s="16">
        <f t="shared" si="15"/>
        <v>0</v>
      </c>
      <c r="L341" s="16">
        <v>0</v>
      </c>
      <c r="M341" s="16">
        <f t="shared" si="16"/>
        <v>0</v>
      </c>
      <c r="N341" s="16">
        <v>0</v>
      </c>
      <c r="O341" s="16">
        <f t="shared" si="17"/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V341" s="16">
        <v>342</v>
      </c>
      <c r="W341" s="17">
        <v>1.7307978844340499</v>
      </c>
      <c r="X341" s="8"/>
    </row>
    <row r="342" spans="1:24" x14ac:dyDescent="0.25">
      <c r="A342" s="23" t="s">
        <v>1284</v>
      </c>
      <c r="B342" s="18" t="s">
        <v>552</v>
      </c>
      <c r="C342" s="18" t="s">
        <v>7</v>
      </c>
      <c r="D342" s="5" t="s">
        <v>466</v>
      </c>
      <c r="E342" s="19">
        <v>0</v>
      </c>
      <c r="F342" s="19">
        <v>0</v>
      </c>
      <c r="G342" s="19">
        <v>0</v>
      </c>
      <c r="H342" s="19">
        <v>0</v>
      </c>
      <c r="I342" s="19">
        <v>1</v>
      </c>
      <c r="J342" s="19">
        <v>1</v>
      </c>
      <c r="K342" s="19">
        <f t="shared" si="15"/>
        <v>0</v>
      </c>
      <c r="L342" s="19">
        <v>0</v>
      </c>
      <c r="M342" s="19">
        <f t="shared" si="16"/>
        <v>1</v>
      </c>
      <c r="N342" s="19">
        <v>0</v>
      </c>
      <c r="O342" s="19">
        <f t="shared" si="17"/>
        <v>1</v>
      </c>
      <c r="P342" s="19">
        <v>0</v>
      </c>
      <c r="Q342" s="19">
        <v>0</v>
      </c>
      <c r="R342" s="19">
        <v>0</v>
      </c>
      <c r="S342" s="19">
        <v>1</v>
      </c>
      <c r="T342" s="19">
        <v>0</v>
      </c>
      <c r="U342" t="s">
        <v>553</v>
      </c>
      <c r="V342" s="19">
        <v>343</v>
      </c>
      <c r="W342" s="20">
        <v>1.7307978844340499</v>
      </c>
      <c r="X342" s="8"/>
    </row>
    <row r="343" spans="1:24" x14ac:dyDescent="0.25">
      <c r="A343" s="23" t="s">
        <v>1285</v>
      </c>
      <c r="B343" s="5" t="s">
        <v>554</v>
      </c>
      <c r="C343" s="5" t="s">
        <v>3</v>
      </c>
      <c r="D343" s="5" t="s">
        <v>554</v>
      </c>
      <c r="E343" s="6">
        <v>1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f t="shared" si="15"/>
        <v>0</v>
      </c>
      <c r="L343" s="6">
        <v>0</v>
      </c>
      <c r="M343" s="6">
        <f t="shared" si="16"/>
        <v>0</v>
      </c>
      <c r="N343" s="6">
        <v>0</v>
      </c>
      <c r="O343" s="6">
        <f t="shared" si="17"/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V343" s="6">
        <v>344</v>
      </c>
      <c r="W343" s="7">
        <v>4.7407437424521444</v>
      </c>
      <c r="X343" s="8"/>
    </row>
    <row r="344" spans="1:24" x14ac:dyDescent="0.25">
      <c r="A344" s="23" t="s">
        <v>1286</v>
      </c>
      <c r="B344" s="9" t="s">
        <v>555</v>
      </c>
      <c r="C344" s="9" t="s">
        <v>4</v>
      </c>
      <c r="D344" s="5" t="s">
        <v>554</v>
      </c>
      <c r="E344" s="10">
        <v>0</v>
      </c>
      <c r="F344" s="10">
        <v>1</v>
      </c>
      <c r="G344" s="10">
        <v>0</v>
      </c>
      <c r="H344" s="10">
        <v>0</v>
      </c>
      <c r="I344" s="10">
        <v>0</v>
      </c>
      <c r="J344" s="10">
        <v>0</v>
      </c>
      <c r="K344" s="10">
        <f t="shared" si="15"/>
        <v>0</v>
      </c>
      <c r="L344" s="10">
        <v>0</v>
      </c>
      <c r="M344" s="10">
        <f t="shared" si="16"/>
        <v>0</v>
      </c>
      <c r="N344" s="10">
        <v>0</v>
      </c>
      <c r="O344" s="10">
        <f t="shared" si="17"/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V344" s="10">
        <v>345</v>
      </c>
      <c r="W344" s="11">
        <v>3.312502474726978</v>
      </c>
      <c r="X344" s="8"/>
    </row>
    <row r="345" spans="1:24" x14ac:dyDescent="0.25">
      <c r="A345" s="23" t="s">
        <v>1287</v>
      </c>
      <c r="B345" s="12" t="s">
        <v>556</v>
      </c>
      <c r="C345" s="12" t="s">
        <v>5</v>
      </c>
      <c r="D345" s="5" t="s">
        <v>554</v>
      </c>
      <c r="E345" s="13">
        <v>0</v>
      </c>
      <c r="F345" s="13">
        <v>0</v>
      </c>
      <c r="G345" s="13">
        <v>1</v>
      </c>
      <c r="H345" s="13">
        <v>0</v>
      </c>
      <c r="I345" s="13">
        <v>0</v>
      </c>
      <c r="J345" s="13">
        <v>0</v>
      </c>
      <c r="K345" s="13">
        <f t="shared" si="15"/>
        <v>0</v>
      </c>
      <c r="L345" s="13">
        <v>0</v>
      </c>
      <c r="M345" s="13">
        <f t="shared" si="16"/>
        <v>0</v>
      </c>
      <c r="N345" s="13">
        <v>0</v>
      </c>
      <c r="O345" s="13">
        <f t="shared" si="17"/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V345" s="13">
        <v>346</v>
      </c>
      <c r="W345" s="14">
        <v>3.2116952248071029</v>
      </c>
      <c r="X345" s="8"/>
    </row>
    <row r="346" spans="1:24" x14ac:dyDescent="0.25">
      <c r="A346" s="23" t="s">
        <v>1288</v>
      </c>
      <c r="B346" s="15" t="s">
        <v>557</v>
      </c>
      <c r="C346" s="15" t="s">
        <v>25</v>
      </c>
      <c r="D346" s="5" t="s">
        <v>554</v>
      </c>
      <c r="E346" s="16">
        <v>0</v>
      </c>
      <c r="F346" s="16">
        <v>0</v>
      </c>
      <c r="G346" s="16">
        <v>0</v>
      </c>
      <c r="H346" s="16">
        <v>1</v>
      </c>
      <c r="I346" s="16">
        <v>0</v>
      </c>
      <c r="J346" s="16">
        <v>0</v>
      </c>
      <c r="K346" s="16">
        <f t="shared" si="15"/>
        <v>0</v>
      </c>
      <c r="L346" s="16">
        <v>0</v>
      </c>
      <c r="M346" s="16">
        <f t="shared" si="16"/>
        <v>0</v>
      </c>
      <c r="N346" s="16">
        <v>0</v>
      </c>
      <c r="O346" s="16">
        <f t="shared" si="17"/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V346" s="16">
        <v>347</v>
      </c>
      <c r="W346" s="17">
        <v>3.2116952248071029</v>
      </c>
      <c r="X346" s="8"/>
    </row>
    <row r="347" spans="1:24" x14ac:dyDescent="0.25">
      <c r="A347" s="23" t="s">
        <v>1289</v>
      </c>
      <c r="B347" s="18" t="s">
        <v>558</v>
      </c>
      <c r="C347" s="18" t="s">
        <v>7</v>
      </c>
      <c r="D347" s="5" t="s">
        <v>554</v>
      </c>
      <c r="E347" s="19">
        <v>0</v>
      </c>
      <c r="F347" s="19">
        <v>0</v>
      </c>
      <c r="G347" s="19">
        <v>0</v>
      </c>
      <c r="H347" s="19">
        <v>0</v>
      </c>
      <c r="I347" s="19">
        <v>1</v>
      </c>
      <c r="J347" s="19">
        <v>1</v>
      </c>
      <c r="K347" s="19">
        <f t="shared" si="15"/>
        <v>0</v>
      </c>
      <c r="L347" s="19">
        <v>1</v>
      </c>
      <c r="M347" s="19">
        <f t="shared" si="16"/>
        <v>0</v>
      </c>
      <c r="N347" s="19">
        <v>1</v>
      </c>
      <c r="O347" s="19">
        <f t="shared" si="17"/>
        <v>0</v>
      </c>
      <c r="P347" s="19">
        <v>0</v>
      </c>
      <c r="Q347" s="19">
        <v>0</v>
      </c>
      <c r="R347" s="19">
        <v>0</v>
      </c>
      <c r="S347" s="19">
        <v>1</v>
      </c>
      <c r="T347" s="19">
        <v>0</v>
      </c>
      <c r="U347" t="s">
        <v>559</v>
      </c>
      <c r="V347" s="19">
        <v>348</v>
      </c>
      <c r="W347" s="20">
        <v>1.36522316552059</v>
      </c>
      <c r="X347" s="8"/>
    </row>
    <row r="348" spans="1:24" x14ac:dyDescent="0.25">
      <c r="A348" s="23" t="s">
        <v>1290</v>
      </c>
      <c r="B348" s="18" t="s">
        <v>560</v>
      </c>
      <c r="C348" s="18" t="s">
        <v>7</v>
      </c>
      <c r="D348" s="5" t="s">
        <v>554</v>
      </c>
      <c r="E348" s="19">
        <v>0</v>
      </c>
      <c r="F348" s="19">
        <v>0</v>
      </c>
      <c r="G348" s="19">
        <v>0</v>
      </c>
      <c r="H348" s="19">
        <v>0</v>
      </c>
      <c r="I348" s="19">
        <v>1</v>
      </c>
      <c r="J348" s="19">
        <v>1</v>
      </c>
      <c r="K348" s="19">
        <f t="shared" si="15"/>
        <v>0</v>
      </c>
      <c r="L348" s="19">
        <v>1</v>
      </c>
      <c r="M348" s="19">
        <f t="shared" si="16"/>
        <v>0</v>
      </c>
      <c r="N348" s="19">
        <v>1</v>
      </c>
      <c r="O348" s="19">
        <f t="shared" si="17"/>
        <v>0</v>
      </c>
      <c r="P348" s="19">
        <v>0</v>
      </c>
      <c r="Q348" s="19">
        <v>0</v>
      </c>
      <c r="R348" s="19">
        <v>0</v>
      </c>
      <c r="S348" s="19">
        <v>1</v>
      </c>
      <c r="T348" s="19">
        <v>0</v>
      </c>
      <c r="U348" t="s">
        <v>561</v>
      </c>
      <c r="V348" s="19">
        <v>349</v>
      </c>
      <c r="W348" s="20">
        <v>0.17170462829039901</v>
      </c>
      <c r="X348" s="8"/>
    </row>
    <row r="349" spans="1:24" x14ac:dyDescent="0.25">
      <c r="A349" s="23" t="s">
        <v>1291</v>
      </c>
      <c r="B349" s="18" t="s">
        <v>562</v>
      </c>
      <c r="C349" s="18" t="s">
        <v>7</v>
      </c>
      <c r="D349" s="5" t="s">
        <v>554</v>
      </c>
      <c r="E349" s="19">
        <v>0</v>
      </c>
      <c r="F349" s="19">
        <v>0</v>
      </c>
      <c r="G349" s="19">
        <v>0</v>
      </c>
      <c r="H349" s="19">
        <v>0</v>
      </c>
      <c r="I349" s="19">
        <v>1</v>
      </c>
      <c r="J349" s="19">
        <v>1</v>
      </c>
      <c r="K349" s="19">
        <f t="shared" si="15"/>
        <v>0</v>
      </c>
      <c r="L349" s="19">
        <v>1</v>
      </c>
      <c r="M349" s="19">
        <f t="shared" si="16"/>
        <v>0</v>
      </c>
      <c r="N349" s="19">
        <v>1</v>
      </c>
      <c r="O349" s="19">
        <f t="shared" si="17"/>
        <v>0</v>
      </c>
      <c r="P349" s="19">
        <v>0</v>
      </c>
      <c r="Q349" s="19">
        <v>0</v>
      </c>
      <c r="R349" s="19">
        <v>0</v>
      </c>
      <c r="S349" s="19">
        <v>1</v>
      </c>
      <c r="T349" s="19">
        <v>0</v>
      </c>
      <c r="U349" t="s">
        <v>563</v>
      </c>
      <c r="V349" s="19">
        <v>350</v>
      </c>
      <c r="W349" s="20">
        <v>0.11365969119495101</v>
      </c>
      <c r="X349" s="8"/>
    </row>
    <row r="350" spans="1:24" x14ac:dyDescent="0.25">
      <c r="A350" s="23" t="s">
        <v>1292</v>
      </c>
      <c r="B350" s="18" t="s">
        <v>564</v>
      </c>
      <c r="C350" s="18" t="s">
        <v>7</v>
      </c>
      <c r="D350" s="5" t="s">
        <v>554</v>
      </c>
      <c r="E350" s="19">
        <v>0</v>
      </c>
      <c r="F350" s="19">
        <v>0</v>
      </c>
      <c r="G350" s="19">
        <v>0</v>
      </c>
      <c r="H350" s="19">
        <v>0</v>
      </c>
      <c r="I350" s="19">
        <v>1</v>
      </c>
      <c r="J350" s="19">
        <v>1</v>
      </c>
      <c r="K350" s="19">
        <f t="shared" si="15"/>
        <v>0</v>
      </c>
      <c r="L350" s="19">
        <v>1</v>
      </c>
      <c r="M350" s="19">
        <f t="shared" si="16"/>
        <v>0</v>
      </c>
      <c r="N350" s="19">
        <v>1</v>
      </c>
      <c r="O350" s="19">
        <f t="shared" si="17"/>
        <v>0</v>
      </c>
      <c r="P350" s="19">
        <v>0</v>
      </c>
      <c r="Q350" s="19">
        <v>0</v>
      </c>
      <c r="R350" s="19">
        <v>0</v>
      </c>
      <c r="S350" s="19">
        <v>1</v>
      </c>
      <c r="T350" s="19">
        <v>0</v>
      </c>
      <c r="U350" t="s">
        <v>565</v>
      </c>
      <c r="V350" s="19">
        <v>351</v>
      </c>
      <c r="W350" s="20">
        <v>0.23274597754392401</v>
      </c>
      <c r="X350" s="8"/>
    </row>
    <row r="351" spans="1:24" x14ac:dyDescent="0.25">
      <c r="A351" s="23" t="s">
        <v>1293</v>
      </c>
      <c r="B351" s="18" t="s">
        <v>566</v>
      </c>
      <c r="C351" s="18" t="s">
        <v>7</v>
      </c>
      <c r="D351" s="5" t="s">
        <v>554</v>
      </c>
      <c r="E351" s="19">
        <v>0</v>
      </c>
      <c r="F351" s="19">
        <v>0</v>
      </c>
      <c r="G351" s="19">
        <v>0</v>
      </c>
      <c r="H351" s="19">
        <v>0</v>
      </c>
      <c r="I351" s="19">
        <v>1</v>
      </c>
      <c r="J351" s="19">
        <v>1</v>
      </c>
      <c r="K351" s="19">
        <f t="shared" si="15"/>
        <v>0</v>
      </c>
      <c r="L351" s="19">
        <v>1</v>
      </c>
      <c r="M351" s="19">
        <f t="shared" si="16"/>
        <v>0</v>
      </c>
      <c r="N351" s="19">
        <v>1</v>
      </c>
      <c r="O351" s="19">
        <f t="shared" si="17"/>
        <v>0</v>
      </c>
      <c r="P351" s="19">
        <v>0</v>
      </c>
      <c r="Q351" s="19">
        <v>0</v>
      </c>
      <c r="R351" s="19">
        <v>0</v>
      </c>
      <c r="S351" s="19">
        <v>1</v>
      </c>
      <c r="T351" s="19">
        <v>0</v>
      </c>
      <c r="U351" t="s">
        <v>567</v>
      </c>
      <c r="V351" s="19">
        <v>352</v>
      </c>
      <c r="W351" s="20">
        <v>0.14917529920148601</v>
      </c>
      <c r="X351" s="8"/>
    </row>
    <row r="352" spans="1:24" x14ac:dyDescent="0.25">
      <c r="A352" s="23" t="s">
        <v>1294</v>
      </c>
      <c r="B352" s="18" t="s">
        <v>568</v>
      </c>
      <c r="C352" s="18" t="s">
        <v>7</v>
      </c>
      <c r="D352" s="5" t="s">
        <v>554</v>
      </c>
      <c r="E352" s="19">
        <v>0</v>
      </c>
      <c r="F352" s="19">
        <v>0</v>
      </c>
      <c r="G352" s="19">
        <v>0</v>
      </c>
      <c r="H352" s="19">
        <v>0</v>
      </c>
      <c r="I352" s="19">
        <v>1</v>
      </c>
      <c r="J352" s="19">
        <v>1</v>
      </c>
      <c r="K352" s="19">
        <f t="shared" si="15"/>
        <v>0</v>
      </c>
      <c r="L352" s="19">
        <v>1</v>
      </c>
      <c r="M352" s="19">
        <f t="shared" si="16"/>
        <v>0</v>
      </c>
      <c r="N352" s="19">
        <v>1</v>
      </c>
      <c r="O352" s="19">
        <f t="shared" si="17"/>
        <v>0</v>
      </c>
      <c r="P352" s="19">
        <v>0</v>
      </c>
      <c r="Q352" s="19">
        <v>0</v>
      </c>
      <c r="R352" s="19">
        <v>0</v>
      </c>
      <c r="S352" s="19">
        <v>1</v>
      </c>
      <c r="T352" s="19">
        <v>0</v>
      </c>
      <c r="U352" t="s">
        <v>569</v>
      </c>
      <c r="V352" s="19">
        <v>353</v>
      </c>
      <c r="W352" s="20">
        <v>0.183150519606989</v>
      </c>
      <c r="X352" s="8"/>
    </row>
    <row r="353" spans="1:24" x14ac:dyDescent="0.25">
      <c r="A353" s="23" t="s">
        <v>1295</v>
      </c>
      <c r="B353" s="18" t="s">
        <v>570</v>
      </c>
      <c r="C353" s="18" t="s">
        <v>7</v>
      </c>
      <c r="D353" s="5" t="s">
        <v>554</v>
      </c>
      <c r="E353" s="19">
        <v>0</v>
      </c>
      <c r="F353" s="19">
        <v>0</v>
      </c>
      <c r="G353" s="19">
        <v>0</v>
      </c>
      <c r="H353" s="19">
        <v>0</v>
      </c>
      <c r="I353" s="19">
        <v>1</v>
      </c>
      <c r="J353" s="19">
        <v>1</v>
      </c>
      <c r="K353" s="19">
        <f t="shared" si="15"/>
        <v>0</v>
      </c>
      <c r="L353" s="19">
        <v>1</v>
      </c>
      <c r="M353" s="19">
        <f t="shared" si="16"/>
        <v>0</v>
      </c>
      <c r="N353" s="19">
        <v>1</v>
      </c>
      <c r="O353" s="19">
        <f t="shared" si="17"/>
        <v>0</v>
      </c>
      <c r="P353" s="19">
        <v>0</v>
      </c>
      <c r="Q353" s="19">
        <v>0</v>
      </c>
      <c r="R353" s="19">
        <v>0</v>
      </c>
      <c r="S353" s="19">
        <v>1</v>
      </c>
      <c r="T353" s="19">
        <v>0</v>
      </c>
      <c r="U353" t="s">
        <v>571</v>
      </c>
      <c r="V353" s="19">
        <v>354</v>
      </c>
      <c r="W353" s="20">
        <v>0.17685537237809201</v>
      </c>
      <c r="X353" s="8"/>
    </row>
    <row r="354" spans="1:24" x14ac:dyDescent="0.25">
      <c r="A354" s="23" t="s">
        <v>1296</v>
      </c>
      <c r="B354" s="18" t="s">
        <v>572</v>
      </c>
      <c r="C354" s="18" t="s">
        <v>7</v>
      </c>
      <c r="D354" s="5" t="s">
        <v>554</v>
      </c>
      <c r="E354" s="19">
        <v>0</v>
      </c>
      <c r="F354" s="19">
        <v>0</v>
      </c>
      <c r="G354" s="19">
        <v>0</v>
      </c>
      <c r="H354" s="19">
        <v>0</v>
      </c>
      <c r="I354" s="19">
        <v>1</v>
      </c>
      <c r="J354" s="19">
        <v>1</v>
      </c>
      <c r="K354" s="19">
        <f t="shared" si="15"/>
        <v>0</v>
      </c>
      <c r="L354" s="19">
        <v>1</v>
      </c>
      <c r="M354" s="19">
        <f t="shared" si="16"/>
        <v>0</v>
      </c>
      <c r="N354" s="19">
        <v>1</v>
      </c>
      <c r="O354" s="19">
        <f t="shared" si="17"/>
        <v>0</v>
      </c>
      <c r="P354" s="19">
        <v>0</v>
      </c>
      <c r="Q354" s="19">
        <v>0</v>
      </c>
      <c r="R354" s="19">
        <v>0</v>
      </c>
      <c r="S354" s="19">
        <v>1</v>
      </c>
      <c r="T354" s="19">
        <v>0</v>
      </c>
      <c r="U354" t="s">
        <v>573</v>
      </c>
      <c r="V354" s="19">
        <v>355</v>
      </c>
      <c r="W354" s="20">
        <v>1.23625751919294E-2</v>
      </c>
      <c r="X354" s="8"/>
    </row>
    <row r="355" spans="1:24" x14ac:dyDescent="0.25">
      <c r="A355" s="23" t="s">
        <v>1297</v>
      </c>
      <c r="B355" s="18" t="s">
        <v>574</v>
      </c>
      <c r="C355" s="18" t="s">
        <v>7</v>
      </c>
      <c r="D355" s="5" t="s">
        <v>554</v>
      </c>
      <c r="E355" s="19">
        <v>0</v>
      </c>
      <c r="F355" s="19">
        <v>0</v>
      </c>
      <c r="G355" s="19">
        <v>0</v>
      </c>
      <c r="H355" s="19">
        <v>0</v>
      </c>
      <c r="I355" s="19">
        <v>1</v>
      </c>
      <c r="J355" s="19">
        <v>1</v>
      </c>
      <c r="K355" s="19">
        <f t="shared" si="15"/>
        <v>0</v>
      </c>
      <c r="L355" s="19">
        <v>1</v>
      </c>
      <c r="M355" s="19">
        <f t="shared" si="16"/>
        <v>0</v>
      </c>
      <c r="N355" s="19">
        <v>1</v>
      </c>
      <c r="O355" s="19">
        <f t="shared" si="17"/>
        <v>0</v>
      </c>
      <c r="P355" s="19">
        <v>0</v>
      </c>
      <c r="Q355" s="19">
        <v>0</v>
      </c>
      <c r="R355" s="19">
        <v>0</v>
      </c>
      <c r="S355" s="19">
        <v>1</v>
      </c>
      <c r="T355" s="19">
        <v>0</v>
      </c>
      <c r="U355" t="s">
        <v>575</v>
      </c>
      <c r="V355" s="19">
        <v>356</v>
      </c>
      <c r="W355" s="20">
        <v>4.5006291888537303E-2</v>
      </c>
      <c r="X355" s="8"/>
    </row>
    <row r="356" spans="1:24" x14ac:dyDescent="0.25">
      <c r="A356" s="23" t="s">
        <v>1298</v>
      </c>
      <c r="B356" s="18" t="s">
        <v>576</v>
      </c>
      <c r="C356" s="18" t="s">
        <v>7</v>
      </c>
      <c r="D356" s="5" t="s">
        <v>554</v>
      </c>
      <c r="E356" s="19">
        <v>0</v>
      </c>
      <c r="F356" s="19">
        <v>0</v>
      </c>
      <c r="G356" s="19">
        <v>0</v>
      </c>
      <c r="H356" s="19">
        <v>0</v>
      </c>
      <c r="I356" s="19">
        <v>1</v>
      </c>
      <c r="J356" s="19">
        <v>1</v>
      </c>
      <c r="K356" s="19">
        <f t="shared" si="15"/>
        <v>0</v>
      </c>
      <c r="L356" s="19">
        <v>1</v>
      </c>
      <c r="M356" s="19">
        <f t="shared" si="16"/>
        <v>0</v>
      </c>
      <c r="N356" s="19">
        <v>1</v>
      </c>
      <c r="O356" s="19">
        <f t="shared" si="17"/>
        <v>0</v>
      </c>
      <c r="P356" s="19">
        <v>0</v>
      </c>
      <c r="Q356" s="19">
        <v>0</v>
      </c>
      <c r="R356" s="19">
        <v>0</v>
      </c>
      <c r="S356" s="19">
        <v>1</v>
      </c>
      <c r="T356" s="19">
        <v>0</v>
      </c>
      <c r="U356" t="s">
        <v>577</v>
      </c>
      <c r="V356" s="19">
        <v>357</v>
      </c>
      <c r="W356" s="20">
        <v>2.0673629505658798E-2</v>
      </c>
      <c r="X356" s="8"/>
    </row>
    <row r="357" spans="1:24" x14ac:dyDescent="0.25">
      <c r="A357" s="23" t="s">
        <v>1299</v>
      </c>
      <c r="B357" s="18" t="s">
        <v>578</v>
      </c>
      <c r="C357" s="18" t="s">
        <v>7</v>
      </c>
      <c r="D357" s="5" t="s">
        <v>554</v>
      </c>
      <c r="E357" s="19">
        <v>0</v>
      </c>
      <c r="F357" s="19">
        <v>0</v>
      </c>
      <c r="G357" s="19">
        <v>0</v>
      </c>
      <c r="H357" s="19">
        <v>0</v>
      </c>
      <c r="I357" s="19">
        <v>1</v>
      </c>
      <c r="J357" s="19">
        <v>1</v>
      </c>
      <c r="K357" s="19">
        <f t="shared" si="15"/>
        <v>0</v>
      </c>
      <c r="L357" s="19">
        <v>1</v>
      </c>
      <c r="M357" s="19">
        <f t="shared" si="16"/>
        <v>0</v>
      </c>
      <c r="N357" s="19">
        <v>1</v>
      </c>
      <c r="O357" s="19">
        <f t="shared" si="17"/>
        <v>0</v>
      </c>
      <c r="P357" s="19">
        <v>0</v>
      </c>
      <c r="Q357" s="19">
        <v>0</v>
      </c>
      <c r="R357" s="19">
        <v>0</v>
      </c>
      <c r="S357" s="19">
        <v>1</v>
      </c>
      <c r="T357" s="19">
        <v>0</v>
      </c>
      <c r="U357" t="s">
        <v>579</v>
      </c>
      <c r="V357" s="19">
        <v>358</v>
      </c>
      <c r="W357" s="20">
        <v>5.04069382791488E-2</v>
      </c>
      <c r="X357" s="8"/>
    </row>
    <row r="358" spans="1:24" x14ac:dyDescent="0.25">
      <c r="A358" s="23" t="s">
        <v>1300</v>
      </c>
      <c r="B358" s="18" t="s">
        <v>580</v>
      </c>
      <c r="C358" s="18" t="s">
        <v>7</v>
      </c>
      <c r="D358" s="5" t="s">
        <v>554</v>
      </c>
      <c r="E358" s="19">
        <v>0</v>
      </c>
      <c r="F358" s="19">
        <v>0</v>
      </c>
      <c r="G358" s="19">
        <v>0</v>
      </c>
      <c r="H358" s="19">
        <v>0</v>
      </c>
      <c r="I358" s="19">
        <v>1</v>
      </c>
      <c r="J358" s="19">
        <v>1</v>
      </c>
      <c r="K358" s="19">
        <f t="shared" si="15"/>
        <v>0</v>
      </c>
      <c r="L358" s="19">
        <v>1</v>
      </c>
      <c r="M358" s="19">
        <f t="shared" si="16"/>
        <v>0</v>
      </c>
      <c r="N358" s="19">
        <v>1</v>
      </c>
      <c r="O358" s="19">
        <f t="shared" si="17"/>
        <v>0</v>
      </c>
      <c r="P358" s="19">
        <v>0</v>
      </c>
      <c r="Q358" s="19">
        <v>0</v>
      </c>
      <c r="R358" s="19">
        <v>0</v>
      </c>
      <c r="S358" s="19">
        <v>1</v>
      </c>
      <c r="T358" s="19">
        <v>1</v>
      </c>
      <c r="U358" t="s">
        <v>581</v>
      </c>
      <c r="V358" s="19">
        <v>359</v>
      </c>
      <c r="W358" s="20">
        <v>9.4154469349270298E-2</v>
      </c>
      <c r="X358" s="8"/>
    </row>
    <row r="359" spans="1:24" x14ac:dyDescent="0.25">
      <c r="A359" s="23" t="s">
        <v>1301</v>
      </c>
      <c r="B359" s="18" t="s">
        <v>582</v>
      </c>
      <c r="C359" s="18" t="s">
        <v>7</v>
      </c>
      <c r="D359" s="5" t="s">
        <v>554</v>
      </c>
      <c r="E359" s="19">
        <v>0</v>
      </c>
      <c r="F359" s="19">
        <v>0</v>
      </c>
      <c r="G359" s="19">
        <v>0</v>
      </c>
      <c r="H359" s="19">
        <v>0</v>
      </c>
      <c r="I359" s="19">
        <v>1</v>
      </c>
      <c r="J359" s="19">
        <v>1</v>
      </c>
      <c r="K359" s="19">
        <f t="shared" si="15"/>
        <v>0</v>
      </c>
      <c r="L359" s="19">
        <v>1</v>
      </c>
      <c r="M359" s="19">
        <f t="shared" si="16"/>
        <v>0</v>
      </c>
      <c r="N359" s="19">
        <v>1</v>
      </c>
      <c r="O359" s="19">
        <f t="shared" si="17"/>
        <v>0</v>
      </c>
      <c r="P359" s="19">
        <v>0</v>
      </c>
      <c r="Q359" s="19">
        <v>0</v>
      </c>
      <c r="R359" s="19">
        <v>0</v>
      </c>
      <c r="S359" s="19">
        <v>1</v>
      </c>
      <c r="T359" s="19">
        <v>1</v>
      </c>
      <c r="U359" t="s">
        <v>583</v>
      </c>
      <c r="V359" s="19">
        <v>360</v>
      </c>
      <c r="W359" s="20">
        <v>5.3020829070470801E-2</v>
      </c>
      <c r="X359" s="8"/>
    </row>
    <row r="360" spans="1:24" x14ac:dyDescent="0.25">
      <c r="A360" s="23" t="s">
        <v>1302</v>
      </c>
      <c r="B360" s="18" t="s">
        <v>584</v>
      </c>
      <c r="C360" s="18" t="s">
        <v>7</v>
      </c>
      <c r="D360" s="5" t="s">
        <v>554</v>
      </c>
      <c r="E360" s="19">
        <v>0</v>
      </c>
      <c r="F360" s="19">
        <v>0</v>
      </c>
      <c r="G360" s="19">
        <v>0</v>
      </c>
      <c r="H360" s="19">
        <v>0</v>
      </c>
      <c r="I360" s="19">
        <v>1</v>
      </c>
      <c r="J360" s="19">
        <v>1</v>
      </c>
      <c r="K360" s="19">
        <f t="shared" si="15"/>
        <v>0</v>
      </c>
      <c r="L360" s="19">
        <v>1</v>
      </c>
      <c r="M360" s="19">
        <f t="shared" si="16"/>
        <v>0</v>
      </c>
      <c r="N360" s="19">
        <v>1</v>
      </c>
      <c r="O360" s="19">
        <f t="shared" si="17"/>
        <v>0</v>
      </c>
      <c r="P360" s="19">
        <v>0</v>
      </c>
      <c r="Q360" s="19">
        <v>0</v>
      </c>
      <c r="R360" s="19">
        <v>0</v>
      </c>
      <c r="S360" s="19">
        <v>1</v>
      </c>
      <c r="T360" s="19">
        <v>1</v>
      </c>
      <c r="U360" t="s">
        <v>585</v>
      </c>
      <c r="V360" s="19">
        <v>361</v>
      </c>
      <c r="W360" s="20">
        <v>7.3990656033930499E-2</v>
      </c>
      <c r="X360" s="8"/>
    </row>
    <row r="361" spans="1:24" x14ac:dyDescent="0.25">
      <c r="A361" s="23" t="s">
        <v>1303</v>
      </c>
      <c r="B361" s="18" t="s">
        <v>586</v>
      </c>
      <c r="C361" s="18" t="s">
        <v>7</v>
      </c>
      <c r="D361" s="5" t="s">
        <v>554</v>
      </c>
      <c r="E361" s="19">
        <v>0</v>
      </c>
      <c r="F361" s="19">
        <v>0</v>
      </c>
      <c r="G361" s="19">
        <v>0</v>
      </c>
      <c r="H361" s="19">
        <v>0</v>
      </c>
      <c r="I361" s="19">
        <v>1</v>
      </c>
      <c r="J361" s="19">
        <v>1</v>
      </c>
      <c r="K361" s="19">
        <f t="shared" si="15"/>
        <v>0</v>
      </c>
      <c r="L361" s="19">
        <v>1</v>
      </c>
      <c r="M361" s="19">
        <f t="shared" si="16"/>
        <v>0</v>
      </c>
      <c r="N361" s="19">
        <v>1</v>
      </c>
      <c r="O361" s="19">
        <f t="shared" si="17"/>
        <v>0</v>
      </c>
      <c r="P361" s="19">
        <v>0</v>
      </c>
      <c r="Q361" s="19">
        <v>0</v>
      </c>
      <c r="R361" s="19">
        <v>0</v>
      </c>
      <c r="S361" s="19">
        <v>1</v>
      </c>
      <c r="T361" s="19">
        <v>1</v>
      </c>
      <c r="U361" t="s">
        <v>587</v>
      </c>
      <c r="V361" s="19">
        <v>362</v>
      </c>
      <c r="W361" s="20">
        <v>9.9836029074028401E-2</v>
      </c>
      <c r="X361" s="8"/>
    </row>
    <row r="362" spans="1:24" x14ac:dyDescent="0.25">
      <c r="A362" s="23" t="s">
        <v>1304</v>
      </c>
      <c r="B362" s="18" t="s">
        <v>588</v>
      </c>
      <c r="C362" s="18" t="s">
        <v>7</v>
      </c>
      <c r="D362" s="5" t="s">
        <v>554</v>
      </c>
      <c r="E362" s="19">
        <v>0</v>
      </c>
      <c r="F362" s="19">
        <v>0</v>
      </c>
      <c r="G362" s="19">
        <v>0</v>
      </c>
      <c r="H362" s="19">
        <v>0</v>
      </c>
      <c r="I362" s="19">
        <v>1</v>
      </c>
      <c r="J362" s="19">
        <v>1</v>
      </c>
      <c r="K362" s="19">
        <f t="shared" si="15"/>
        <v>0</v>
      </c>
      <c r="L362" s="19">
        <v>1</v>
      </c>
      <c r="M362" s="19">
        <f t="shared" si="16"/>
        <v>0</v>
      </c>
      <c r="N362" s="19">
        <v>1</v>
      </c>
      <c r="O362" s="19">
        <f t="shared" si="17"/>
        <v>0</v>
      </c>
      <c r="P362" s="19">
        <v>0</v>
      </c>
      <c r="Q362" s="19">
        <v>0</v>
      </c>
      <c r="R362" s="19">
        <v>0</v>
      </c>
      <c r="S362" s="19">
        <v>1</v>
      </c>
      <c r="T362" s="19">
        <v>1</v>
      </c>
      <c r="U362" t="s">
        <v>589</v>
      </c>
      <c r="V362" s="19">
        <v>363</v>
      </c>
      <c r="W362" s="20">
        <v>1.8089917734624001E-2</v>
      </c>
      <c r="X362" s="8"/>
    </row>
    <row r="363" spans="1:24" x14ac:dyDescent="0.25">
      <c r="A363" s="23" t="s">
        <v>1305</v>
      </c>
      <c r="B363" s="18" t="s">
        <v>590</v>
      </c>
      <c r="C363" s="18" t="s">
        <v>7</v>
      </c>
      <c r="D363" s="5" t="s">
        <v>554</v>
      </c>
      <c r="E363" s="19">
        <v>0</v>
      </c>
      <c r="F363" s="19">
        <v>0</v>
      </c>
      <c r="G363" s="19">
        <v>0</v>
      </c>
      <c r="H363" s="19">
        <v>0</v>
      </c>
      <c r="I363" s="19">
        <v>1</v>
      </c>
      <c r="J363" s="19">
        <v>1</v>
      </c>
      <c r="K363" s="19">
        <f t="shared" si="15"/>
        <v>0</v>
      </c>
      <c r="L363" s="19">
        <v>1</v>
      </c>
      <c r="M363" s="19">
        <f t="shared" si="16"/>
        <v>0</v>
      </c>
      <c r="N363" s="19">
        <v>1</v>
      </c>
      <c r="O363" s="19">
        <f t="shared" si="17"/>
        <v>0</v>
      </c>
      <c r="P363" s="19">
        <v>0</v>
      </c>
      <c r="Q363" s="19">
        <v>0</v>
      </c>
      <c r="R363" s="19">
        <v>0</v>
      </c>
      <c r="S363" s="19">
        <v>1</v>
      </c>
      <c r="T363" s="19">
        <v>1</v>
      </c>
      <c r="U363" t="s">
        <v>591</v>
      </c>
      <c r="V363" s="19">
        <v>364</v>
      </c>
      <c r="W363" s="20">
        <v>0.16505105927350699</v>
      </c>
      <c r="X363" s="8"/>
    </row>
    <row r="364" spans="1:24" x14ac:dyDescent="0.25">
      <c r="A364" s="23" t="s">
        <v>1306</v>
      </c>
      <c r="B364" s="18" t="s">
        <v>592</v>
      </c>
      <c r="C364" s="18" t="s">
        <v>7</v>
      </c>
      <c r="D364" s="5" t="s">
        <v>554</v>
      </c>
      <c r="E364" s="19">
        <v>0</v>
      </c>
      <c r="F364" s="19">
        <v>0</v>
      </c>
      <c r="G364" s="19">
        <v>0</v>
      </c>
      <c r="H364" s="19">
        <v>0</v>
      </c>
      <c r="I364" s="19">
        <v>1</v>
      </c>
      <c r="J364" s="19">
        <v>1</v>
      </c>
      <c r="K364" s="19">
        <f t="shared" si="15"/>
        <v>0</v>
      </c>
      <c r="L364" s="19">
        <v>1</v>
      </c>
      <c r="M364" s="19">
        <f t="shared" si="16"/>
        <v>0</v>
      </c>
      <c r="N364" s="19">
        <v>1</v>
      </c>
      <c r="O364" s="19">
        <f t="shared" si="17"/>
        <v>0</v>
      </c>
      <c r="P364" s="19">
        <v>0</v>
      </c>
      <c r="Q364" s="19">
        <v>0</v>
      </c>
      <c r="R364" s="19">
        <v>0</v>
      </c>
      <c r="S364" s="19">
        <v>1</v>
      </c>
      <c r="T364" s="19">
        <v>1</v>
      </c>
      <c r="U364" t="s">
        <v>593</v>
      </c>
      <c r="V364" s="19">
        <v>365</v>
      </c>
      <c r="W364" s="20">
        <v>6.6327219982184299E-2</v>
      </c>
      <c r="X364" s="8"/>
    </row>
    <row r="365" spans="1:24" x14ac:dyDescent="0.25">
      <c r="A365" s="23" t="s">
        <v>1307</v>
      </c>
      <c r="B365" s="18" t="s">
        <v>594</v>
      </c>
      <c r="C365" s="18" t="s">
        <v>7</v>
      </c>
      <c r="D365" s="5" t="s">
        <v>554</v>
      </c>
      <c r="E365" s="19">
        <v>0</v>
      </c>
      <c r="F365" s="19">
        <v>0</v>
      </c>
      <c r="G365" s="19">
        <v>0</v>
      </c>
      <c r="H365" s="19">
        <v>0</v>
      </c>
      <c r="I365" s="19">
        <v>1</v>
      </c>
      <c r="J365" s="19">
        <v>1</v>
      </c>
      <c r="K365" s="19">
        <f t="shared" si="15"/>
        <v>0</v>
      </c>
      <c r="L365" s="19">
        <v>1</v>
      </c>
      <c r="M365" s="19">
        <f t="shared" si="16"/>
        <v>0</v>
      </c>
      <c r="N365" s="19">
        <v>1</v>
      </c>
      <c r="O365" s="19">
        <f t="shared" si="17"/>
        <v>0</v>
      </c>
      <c r="P365" s="19">
        <v>0</v>
      </c>
      <c r="Q365" s="19">
        <v>0</v>
      </c>
      <c r="R365" s="19">
        <v>0</v>
      </c>
      <c r="S365" s="19">
        <v>1</v>
      </c>
      <c r="T365" s="19">
        <v>1</v>
      </c>
      <c r="U365" t="s">
        <v>595</v>
      </c>
      <c r="V365" s="19">
        <v>366</v>
      </c>
      <c r="W365" s="20">
        <v>9.4314926615319997E-2</v>
      </c>
      <c r="X365" s="8"/>
    </row>
    <row r="366" spans="1:24" x14ac:dyDescent="0.25">
      <c r="A366" s="23" t="s">
        <v>1308</v>
      </c>
      <c r="B366" s="18" t="s">
        <v>596</v>
      </c>
      <c r="C366" s="18" t="s">
        <v>7</v>
      </c>
      <c r="D366" s="5" t="s">
        <v>554</v>
      </c>
      <c r="E366" s="19">
        <v>0</v>
      </c>
      <c r="F366" s="19">
        <v>0</v>
      </c>
      <c r="G366" s="19">
        <v>0</v>
      </c>
      <c r="H366" s="19">
        <v>0</v>
      </c>
      <c r="I366" s="19">
        <v>1</v>
      </c>
      <c r="J366" s="19">
        <v>1</v>
      </c>
      <c r="K366" s="19">
        <f t="shared" si="15"/>
        <v>0</v>
      </c>
      <c r="L366" s="19">
        <v>1</v>
      </c>
      <c r="M366" s="19">
        <f t="shared" si="16"/>
        <v>0</v>
      </c>
      <c r="N366" s="19">
        <v>1</v>
      </c>
      <c r="O366" s="19">
        <f t="shared" si="17"/>
        <v>0</v>
      </c>
      <c r="P366" s="19">
        <v>0</v>
      </c>
      <c r="Q366" s="19">
        <v>0</v>
      </c>
      <c r="R366" s="19">
        <v>0</v>
      </c>
      <c r="S366" s="19">
        <v>1</v>
      </c>
      <c r="T366" s="19">
        <v>1</v>
      </c>
      <c r="U366" t="s">
        <v>597</v>
      </c>
      <c r="V366" s="19">
        <v>367</v>
      </c>
      <c r="W366" s="20">
        <v>2.5946029072062601E-2</v>
      </c>
      <c r="X366" s="8"/>
    </row>
    <row r="367" spans="1:24" x14ac:dyDescent="0.25">
      <c r="A367" s="23" t="s">
        <v>1309</v>
      </c>
      <c r="B367" s="12" t="s">
        <v>598</v>
      </c>
      <c r="C367" s="12" t="s">
        <v>5</v>
      </c>
      <c r="D367" s="5" t="s">
        <v>554</v>
      </c>
      <c r="E367" s="13">
        <v>0</v>
      </c>
      <c r="F367" s="13">
        <v>0</v>
      </c>
      <c r="G367" s="13">
        <v>1</v>
      </c>
      <c r="H367" s="13">
        <v>0</v>
      </c>
      <c r="I367" s="13">
        <v>0</v>
      </c>
      <c r="J367" s="13">
        <v>0</v>
      </c>
      <c r="K367" s="13">
        <f t="shared" si="15"/>
        <v>0</v>
      </c>
      <c r="L367" s="13">
        <v>0</v>
      </c>
      <c r="M367" s="13">
        <f t="shared" si="16"/>
        <v>0</v>
      </c>
      <c r="N367" s="13">
        <v>0</v>
      </c>
      <c r="O367" s="13">
        <f t="shared" si="17"/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V367" s="13">
        <v>368</v>
      </c>
      <c r="W367" s="14">
        <v>0.100807249919875</v>
      </c>
      <c r="X367" s="8"/>
    </row>
    <row r="368" spans="1:24" x14ac:dyDescent="0.25">
      <c r="A368" s="23" t="s">
        <v>1310</v>
      </c>
      <c r="B368" s="15" t="s">
        <v>598</v>
      </c>
      <c r="C368" s="15" t="s">
        <v>25</v>
      </c>
      <c r="D368" s="5" t="s">
        <v>554</v>
      </c>
      <c r="E368" s="16">
        <v>0</v>
      </c>
      <c r="F368" s="16">
        <v>0</v>
      </c>
      <c r="G368" s="16">
        <v>0</v>
      </c>
      <c r="H368" s="16">
        <v>1</v>
      </c>
      <c r="I368" s="16">
        <v>0</v>
      </c>
      <c r="J368" s="16">
        <v>0</v>
      </c>
      <c r="K368" s="16">
        <f t="shared" si="15"/>
        <v>0</v>
      </c>
      <c r="L368" s="16">
        <v>0</v>
      </c>
      <c r="M368" s="16">
        <f t="shared" si="16"/>
        <v>0</v>
      </c>
      <c r="N368" s="16">
        <v>0</v>
      </c>
      <c r="O368" s="16">
        <f t="shared" si="17"/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V368" s="16">
        <v>369</v>
      </c>
      <c r="W368" s="17">
        <v>0.100807249919875</v>
      </c>
      <c r="X368" s="8"/>
    </row>
    <row r="369" spans="1:24" x14ac:dyDescent="0.25">
      <c r="A369" s="23" t="s">
        <v>1311</v>
      </c>
      <c r="B369" s="18" t="s">
        <v>599</v>
      </c>
      <c r="C369" s="18" t="s">
        <v>7</v>
      </c>
      <c r="D369" s="5" t="s">
        <v>554</v>
      </c>
      <c r="E369" s="19">
        <v>0</v>
      </c>
      <c r="F369" s="19">
        <v>0</v>
      </c>
      <c r="G369" s="19">
        <v>0</v>
      </c>
      <c r="H369" s="19">
        <v>0</v>
      </c>
      <c r="I369" s="19">
        <v>1</v>
      </c>
      <c r="J369" s="19">
        <v>1</v>
      </c>
      <c r="K369" s="19">
        <f t="shared" si="15"/>
        <v>0</v>
      </c>
      <c r="L369" s="19">
        <v>1</v>
      </c>
      <c r="M369" s="19">
        <f t="shared" si="16"/>
        <v>0</v>
      </c>
      <c r="N369" s="19">
        <v>1</v>
      </c>
      <c r="O369" s="19">
        <f t="shared" si="17"/>
        <v>0</v>
      </c>
      <c r="P369" s="19">
        <v>0</v>
      </c>
      <c r="Q369" s="19">
        <v>0</v>
      </c>
      <c r="R369" s="19">
        <v>0</v>
      </c>
      <c r="S369" s="19">
        <v>1</v>
      </c>
      <c r="T369" s="19">
        <v>0</v>
      </c>
      <c r="U369" s="5" t="s">
        <v>600</v>
      </c>
      <c r="V369" s="19">
        <v>370</v>
      </c>
      <c r="W369" s="20">
        <v>0.100807249919875</v>
      </c>
      <c r="X369" s="8"/>
    </row>
    <row r="370" spans="1:24" x14ac:dyDescent="0.25">
      <c r="A370" s="23" t="s">
        <v>1312</v>
      </c>
      <c r="B370" s="9" t="s">
        <v>601</v>
      </c>
      <c r="C370" s="9" t="s">
        <v>4</v>
      </c>
      <c r="D370" s="5" t="s">
        <v>554</v>
      </c>
      <c r="E370" s="10">
        <v>0</v>
      </c>
      <c r="F370" s="10">
        <v>1</v>
      </c>
      <c r="G370" s="10">
        <v>0</v>
      </c>
      <c r="H370" s="10">
        <v>0</v>
      </c>
      <c r="I370" s="10">
        <v>0</v>
      </c>
      <c r="J370" s="10">
        <v>0</v>
      </c>
      <c r="K370" s="10">
        <f t="shared" si="15"/>
        <v>0</v>
      </c>
      <c r="L370" s="10">
        <v>0</v>
      </c>
      <c r="M370" s="10">
        <f t="shared" si="16"/>
        <v>0</v>
      </c>
      <c r="N370" s="10">
        <v>0</v>
      </c>
      <c r="O370" s="10">
        <f t="shared" si="17"/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V370" s="10">
        <v>371</v>
      </c>
      <c r="W370" s="11">
        <v>0.91730788137960195</v>
      </c>
      <c r="X370" s="8"/>
    </row>
    <row r="371" spans="1:24" x14ac:dyDescent="0.25">
      <c r="A371" s="23" t="s">
        <v>1313</v>
      </c>
      <c r="B371" s="12" t="s">
        <v>602</v>
      </c>
      <c r="C371" s="12" t="s">
        <v>5</v>
      </c>
      <c r="D371" s="5" t="s">
        <v>554</v>
      </c>
      <c r="E371" s="13">
        <v>0</v>
      </c>
      <c r="F371" s="13">
        <v>0</v>
      </c>
      <c r="G371" s="13">
        <v>1</v>
      </c>
      <c r="H371" s="13">
        <v>0</v>
      </c>
      <c r="I371" s="13">
        <v>0</v>
      </c>
      <c r="J371" s="13">
        <v>0</v>
      </c>
      <c r="K371" s="13">
        <f t="shared" si="15"/>
        <v>0</v>
      </c>
      <c r="L371" s="13">
        <v>0</v>
      </c>
      <c r="M371" s="13">
        <f t="shared" si="16"/>
        <v>0</v>
      </c>
      <c r="N371" s="13">
        <v>0</v>
      </c>
      <c r="O371" s="13">
        <f t="shared" si="17"/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V371" s="13">
        <v>372</v>
      </c>
      <c r="W371" s="14">
        <v>0.37477136671411748</v>
      </c>
      <c r="X371" s="8"/>
    </row>
    <row r="372" spans="1:24" x14ac:dyDescent="0.25">
      <c r="A372" s="23" t="s">
        <v>1314</v>
      </c>
      <c r="B372" s="15" t="s">
        <v>602</v>
      </c>
      <c r="C372" s="15" t="s">
        <v>25</v>
      </c>
      <c r="D372" s="5" t="s">
        <v>554</v>
      </c>
      <c r="E372" s="16">
        <v>0</v>
      </c>
      <c r="F372" s="16">
        <v>0</v>
      </c>
      <c r="G372" s="16">
        <v>0</v>
      </c>
      <c r="H372" s="16">
        <v>1</v>
      </c>
      <c r="I372" s="16">
        <v>0</v>
      </c>
      <c r="J372" s="16">
        <v>0</v>
      </c>
      <c r="K372" s="16">
        <f t="shared" si="15"/>
        <v>0</v>
      </c>
      <c r="L372" s="16">
        <v>0</v>
      </c>
      <c r="M372" s="16">
        <f t="shared" si="16"/>
        <v>0</v>
      </c>
      <c r="N372" s="16">
        <v>0</v>
      </c>
      <c r="O372" s="16">
        <f t="shared" si="17"/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V372" s="16">
        <v>373</v>
      </c>
      <c r="W372" s="17">
        <v>0.37477136671411748</v>
      </c>
      <c r="X372" s="8"/>
    </row>
    <row r="373" spans="1:24" x14ac:dyDescent="0.25">
      <c r="A373" s="23" t="s">
        <v>1315</v>
      </c>
      <c r="B373" s="18" t="s">
        <v>603</v>
      </c>
      <c r="C373" s="18" t="s">
        <v>7</v>
      </c>
      <c r="D373" s="5" t="s">
        <v>554</v>
      </c>
      <c r="E373" s="19">
        <v>0</v>
      </c>
      <c r="F373" s="19">
        <v>0</v>
      </c>
      <c r="G373" s="19">
        <v>0</v>
      </c>
      <c r="H373" s="19">
        <v>0</v>
      </c>
      <c r="I373" s="19">
        <v>1</v>
      </c>
      <c r="J373" s="19">
        <v>1</v>
      </c>
      <c r="K373" s="19">
        <f t="shared" si="15"/>
        <v>0</v>
      </c>
      <c r="L373" s="19">
        <v>0</v>
      </c>
      <c r="M373" s="19">
        <f t="shared" si="16"/>
        <v>1</v>
      </c>
      <c r="N373" s="19">
        <v>0</v>
      </c>
      <c r="O373" s="19">
        <f t="shared" si="17"/>
        <v>1</v>
      </c>
      <c r="P373" s="19">
        <v>0</v>
      </c>
      <c r="Q373" s="19">
        <v>0</v>
      </c>
      <c r="R373" s="19">
        <v>0</v>
      </c>
      <c r="S373" s="19">
        <v>1</v>
      </c>
      <c r="T373" s="19">
        <v>0</v>
      </c>
      <c r="U373" t="s">
        <v>604</v>
      </c>
      <c r="V373" s="19">
        <v>374</v>
      </c>
      <c r="W373" s="20">
        <v>9.7437434133840206E-2</v>
      </c>
      <c r="X373" s="8"/>
    </row>
    <row r="374" spans="1:24" x14ac:dyDescent="0.25">
      <c r="A374" s="23" t="s">
        <v>1316</v>
      </c>
      <c r="B374" s="18" t="s">
        <v>605</v>
      </c>
      <c r="C374" s="18" t="s">
        <v>7</v>
      </c>
      <c r="D374" s="5" t="s">
        <v>554</v>
      </c>
      <c r="E374" s="19">
        <v>0</v>
      </c>
      <c r="F374" s="19">
        <v>0</v>
      </c>
      <c r="G374" s="19">
        <v>0</v>
      </c>
      <c r="H374" s="19">
        <v>0</v>
      </c>
      <c r="I374" s="19">
        <v>1</v>
      </c>
      <c r="J374" s="19">
        <v>1</v>
      </c>
      <c r="K374" s="19">
        <f t="shared" si="15"/>
        <v>0</v>
      </c>
      <c r="L374" s="19">
        <v>0</v>
      </c>
      <c r="M374" s="19">
        <f t="shared" si="16"/>
        <v>1</v>
      </c>
      <c r="N374" s="19">
        <v>0</v>
      </c>
      <c r="O374" s="19">
        <f t="shared" si="17"/>
        <v>1</v>
      </c>
      <c r="P374" s="19">
        <v>0</v>
      </c>
      <c r="Q374" s="19">
        <v>0</v>
      </c>
      <c r="R374" s="19">
        <v>0</v>
      </c>
      <c r="S374" s="19">
        <v>1</v>
      </c>
      <c r="T374" s="19">
        <v>0</v>
      </c>
      <c r="U374" t="s">
        <v>606</v>
      </c>
      <c r="V374" s="19">
        <v>375</v>
      </c>
      <c r="W374" s="20">
        <v>7.6476797059981796E-2</v>
      </c>
      <c r="X374" s="8"/>
    </row>
    <row r="375" spans="1:24" x14ac:dyDescent="0.25">
      <c r="A375" s="23" t="s">
        <v>1317</v>
      </c>
      <c r="B375" s="18" t="s">
        <v>607</v>
      </c>
      <c r="C375" s="18" t="s">
        <v>7</v>
      </c>
      <c r="D375" s="5" t="s">
        <v>554</v>
      </c>
      <c r="E375" s="19">
        <v>0</v>
      </c>
      <c r="F375" s="19">
        <v>0</v>
      </c>
      <c r="G375" s="19">
        <v>0</v>
      </c>
      <c r="H375" s="19">
        <v>0</v>
      </c>
      <c r="I375" s="19">
        <v>1</v>
      </c>
      <c r="J375" s="19">
        <v>1</v>
      </c>
      <c r="K375" s="19">
        <f t="shared" si="15"/>
        <v>0</v>
      </c>
      <c r="L375" s="19">
        <v>0</v>
      </c>
      <c r="M375" s="19">
        <f t="shared" si="16"/>
        <v>1</v>
      </c>
      <c r="N375" s="19">
        <v>0</v>
      </c>
      <c r="O375" s="19">
        <f t="shared" si="17"/>
        <v>1</v>
      </c>
      <c r="P375" s="19">
        <v>0</v>
      </c>
      <c r="Q375" s="19">
        <v>0</v>
      </c>
      <c r="R375" s="19">
        <v>0</v>
      </c>
      <c r="S375" s="19">
        <v>1</v>
      </c>
      <c r="T375" s="19">
        <v>0</v>
      </c>
      <c r="U375" t="s">
        <v>608</v>
      </c>
      <c r="V375" s="19">
        <v>376</v>
      </c>
      <c r="W375" s="20">
        <v>0.11260113609695201</v>
      </c>
      <c r="X375" s="8"/>
    </row>
    <row r="376" spans="1:24" x14ac:dyDescent="0.25">
      <c r="A376" s="23" t="s">
        <v>1318</v>
      </c>
      <c r="B376" s="18" t="s">
        <v>609</v>
      </c>
      <c r="C376" s="18" t="s">
        <v>7</v>
      </c>
      <c r="D376" s="5" t="s">
        <v>554</v>
      </c>
      <c r="E376" s="19">
        <v>0</v>
      </c>
      <c r="F376" s="19">
        <v>0</v>
      </c>
      <c r="G376" s="19">
        <v>0</v>
      </c>
      <c r="H376" s="19">
        <v>0</v>
      </c>
      <c r="I376" s="19">
        <v>1</v>
      </c>
      <c r="J376" s="19">
        <v>1</v>
      </c>
      <c r="K376" s="19">
        <f t="shared" si="15"/>
        <v>0</v>
      </c>
      <c r="L376" s="19">
        <v>0</v>
      </c>
      <c r="M376" s="19">
        <f t="shared" si="16"/>
        <v>1</v>
      </c>
      <c r="N376" s="19">
        <v>0</v>
      </c>
      <c r="O376" s="19">
        <f t="shared" si="17"/>
        <v>1</v>
      </c>
      <c r="P376" s="19">
        <v>0</v>
      </c>
      <c r="Q376" s="19">
        <v>0</v>
      </c>
      <c r="R376" s="19">
        <v>0</v>
      </c>
      <c r="S376" s="19">
        <v>1</v>
      </c>
      <c r="T376" s="19">
        <v>0</v>
      </c>
      <c r="U376" t="s">
        <v>610</v>
      </c>
      <c r="V376" s="19">
        <v>377</v>
      </c>
      <c r="W376" s="20">
        <v>8.8255999423343501E-2</v>
      </c>
      <c r="X376" s="8"/>
    </row>
    <row r="377" spans="1:24" x14ac:dyDescent="0.25">
      <c r="A377" s="23" t="s">
        <v>1319</v>
      </c>
      <c r="B377" s="12" t="s">
        <v>611</v>
      </c>
      <c r="C377" s="12" t="s">
        <v>5</v>
      </c>
      <c r="D377" s="5" t="s">
        <v>554</v>
      </c>
      <c r="E377" s="13">
        <v>0</v>
      </c>
      <c r="F377" s="13">
        <v>0</v>
      </c>
      <c r="G377" s="13">
        <v>1</v>
      </c>
      <c r="H377" s="13">
        <v>0</v>
      </c>
      <c r="I377" s="13">
        <v>0</v>
      </c>
      <c r="J377" s="13">
        <v>0</v>
      </c>
      <c r="K377" s="13">
        <f t="shared" si="15"/>
        <v>0</v>
      </c>
      <c r="L377" s="13">
        <v>0</v>
      </c>
      <c r="M377" s="13">
        <f t="shared" si="16"/>
        <v>0</v>
      </c>
      <c r="N377" s="13">
        <v>0</v>
      </c>
      <c r="O377" s="13">
        <f t="shared" si="17"/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V377" s="13">
        <v>378</v>
      </c>
      <c r="W377" s="14">
        <v>9.1662175858772801E-2</v>
      </c>
      <c r="X377" s="8"/>
    </row>
    <row r="378" spans="1:24" x14ac:dyDescent="0.25">
      <c r="A378" s="23" t="s">
        <v>1320</v>
      </c>
      <c r="B378" s="15" t="s">
        <v>611</v>
      </c>
      <c r="C378" s="15" t="s">
        <v>25</v>
      </c>
      <c r="D378" s="5" t="s">
        <v>554</v>
      </c>
      <c r="E378" s="16">
        <v>0</v>
      </c>
      <c r="F378" s="16">
        <v>0</v>
      </c>
      <c r="G378" s="16">
        <v>0</v>
      </c>
      <c r="H378" s="16">
        <v>1</v>
      </c>
      <c r="I378" s="16">
        <v>0</v>
      </c>
      <c r="J378" s="16">
        <v>0</v>
      </c>
      <c r="K378" s="16">
        <f t="shared" si="15"/>
        <v>0</v>
      </c>
      <c r="L378" s="16">
        <v>0</v>
      </c>
      <c r="M378" s="16">
        <f t="shared" si="16"/>
        <v>0</v>
      </c>
      <c r="N378" s="16">
        <v>0</v>
      </c>
      <c r="O378" s="16">
        <f t="shared" si="17"/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V378" s="16">
        <v>379</v>
      </c>
      <c r="W378" s="17">
        <v>9.1662175858772801E-2</v>
      </c>
      <c r="X378" s="8"/>
    </row>
    <row r="379" spans="1:24" x14ac:dyDescent="0.25">
      <c r="A379" s="23" t="s">
        <v>1321</v>
      </c>
      <c r="B379" s="18" t="s">
        <v>612</v>
      </c>
      <c r="C379" s="18" t="s">
        <v>7</v>
      </c>
      <c r="D379" s="5" t="s">
        <v>554</v>
      </c>
      <c r="E379" s="19">
        <v>0</v>
      </c>
      <c r="F379" s="19">
        <v>0</v>
      </c>
      <c r="G379" s="19">
        <v>0</v>
      </c>
      <c r="H379" s="19">
        <v>0</v>
      </c>
      <c r="I379" s="19">
        <v>1</v>
      </c>
      <c r="J379" s="19">
        <v>1</v>
      </c>
      <c r="K379" s="19">
        <f t="shared" si="15"/>
        <v>0</v>
      </c>
      <c r="L379" s="19">
        <v>0</v>
      </c>
      <c r="M379" s="19">
        <f t="shared" si="16"/>
        <v>1</v>
      </c>
      <c r="N379" s="19">
        <v>0</v>
      </c>
      <c r="O379" s="19">
        <f t="shared" si="17"/>
        <v>1</v>
      </c>
      <c r="P379" s="19">
        <v>0</v>
      </c>
      <c r="Q379" s="19">
        <v>0</v>
      </c>
      <c r="R379" s="19">
        <v>0</v>
      </c>
      <c r="S379" s="19">
        <v>1</v>
      </c>
      <c r="T379" s="19">
        <v>0</v>
      </c>
      <c r="U379" t="s">
        <v>613</v>
      </c>
      <c r="V379" s="19">
        <v>380</v>
      </c>
      <c r="W379" s="20">
        <v>5.99763480345573E-2</v>
      </c>
      <c r="X379" s="8"/>
    </row>
    <row r="380" spans="1:24" x14ac:dyDescent="0.25">
      <c r="A380" s="23" t="s">
        <v>1322</v>
      </c>
      <c r="B380" s="18" t="s">
        <v>614</v>
      </c>
      <c r="C380" s="18" t="s">
        <v>7</v>
      </c>
      <c r="D380" s="5" t="s">
        <v>554</v>
      </c>
      <c r="E380" s="19">
        <v>0</v>
      </c>
      <c r="F380" s="19">
        <v>0</v>
      </c>
      <c r="G380" s="19">
        <v>0</v>
      </c>
      <c r="H380" s="19">
        <v>0</v>
      </c>
      <c r="I380" s="19">
        <v>1</v>
      </c>
      <c r="J380" s="19">
        <v>1</v>
      </c>
      <c r="K380" s="19">
        <f t="shared" si="15"/>
        <v>0</v>
      </c>
      <c r="L380" s="19">
        <v>0</v>
      </c>
      <c r="M380" s="19">
        <f t="shared" si="16"/>
        <v>1</v>
      </c>
      <c r="N380" s="19">
        <v>0</v>
      </c>
      <c r="O380" s="19">
        <f t="shared" si="17"/>
        <v>1</v>
      </c>
      <c r="P380" s="19">
        <v>0</v>
      </c>
      <c r="Q380" s="19">
        <v>0</v>
      </c>
      <c r="R380" s="19">
        <v>0</v>
      </c>
      <c r="S380" s="19">
        <v>1</v>
      </c>
      <c r="T380" s="19">
        <v>1</v>
      </c>
      <c r="U380" t="s">
        <v>615</v>
      </c>
      <c r="V380" s="19">
        <v>381</v>
      </c>
      <c r="W380" s="20">
        <v>3.1685827824215501E-2</v>
      </c>
      <c r="X380" s="8"/>
    </row>
    <row r="381" spans="1:24" x14ac:dyDescent="0.25">
      <c r="A381" s="23" t="s">
        <v>1323</v>
      </c>
      <c r="B381" s="12" t="s">
        <v>616</v>
      </c>
      <c r="C381" s="12" t="s">
        <v>5</v>
      </c>
      <c r="D381" s="5" t="s">
        <v>554</v>
      </c>
      <c r="E381" s="13">
        <v>0</v>
      </c>
      <c r="F381" s="13">
        <v>0</v>
      </c>
      <c r="G381" s="13">
        <v>1</v>
      </c>
      <c r="H381" s="13">
        <v>0</v>
      </c>
      <c r="I381" s="13">
        <v>0</v>
      </c>
      <c r="J381" s="13">
        <v>0</v>
      </c>
      <c r="K381" s="13">
        <f t="shared" si="15"/>
        <v>0</v>
      </c>
      <c r="L381" s="13">
        <v>0</v>
      </c>
      <c r="M381" s="13">
        <f t="shared" si="16"/>
        <v>0</v>
      </c>
      <c r="N381" s="13">
        <v>0</v>
      </c>
      <c r="O381" s="13">
        <f t="shared" si="17"/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V381" s="13">
        <v>382</v>
      </c>
      <c r="W381" s="14">
        <v>0.45087433880671168</v>
      </c>
      <c r="X381" s="8"/>
    </row>
    <row r="382" spans="1:24" x14ac:dyDescent="0.25">
      <c r="A382" s="23" t="s">
        <v>1324</v>
      </c>
      <c r="B382" s="15" t="s">
        <v>617</v>
      </c>
      <c r="C382" s="15" t="s">
        <v>25</v>
      </c>
      <c r="D382" s="5" t="s">
        <v>554</v>
      </c>
      <c r="E382" s="16">
        <v>0</v>
      </c>
      <c r="F382" s="16">
        <v>0</v>
      </c>
      <c r="G382" s="16">
        <v>0</v>
      </c>
      <c r="H382" s="16">
        <v>1</v>
      </c>
      <c r="I382" s="16">
        <v>0</v>
      </c>
      <c r="J382" s="16">
        <v>0</v>
      </c>
      <c r="K382" s="16">
        <f t="shared" si="15"/>
        <v>0</v>
      </c>
      <c r="L382" s="16">
        <v>0</v>
      </c>
      <c r="M382" s="16">
        <f t="shared" si="16"/>
        <v>0</v>
      </c>
      <c r="N382" s="16">
        <v>0</v>
      </c>
      <c r="O382" s="16">
        <f t="shared" si="17"/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V382" s="16">
        <v>383</v>
      </c>
      <c r="W382" s="17">
        <v>0.141334164391203</v>
      </c>
      <c r="X382" s="8"/>
    </row>
    <row r="383" spans="1:24" x14ac:dyDescent="0.25">
      <c r="A383" s="23" t="s">
        <v>1325</v>
      </c>
      <c r="B383" s="18" t="s">
        <v>617</v>
      </c>
      <c r="C383" s="18" t="s">
        <v>7</v>
      </c>
      <c r="D383" s="5" t="s">
        <v>554</v>
      </c>
      <c r="E383" s="19">
        <v>0</v>
      </c>
      <c r="F383" s="19">
        <v>0</v>
      </c>
      <c r="G383" s="19">
        <v>0</v>
      </c>
      <c r="H383" s="19">
        <v>0</v>
      </c>
      <c r="I383" s="19">
        <v>1</v>
      </c>
      <c r="J383" s="19">
        <v>1</v>
      </c>
      <c r="K383" s="19">
        <f t="shared" si="15"/>
        <v>0</v>
      </c>
      <c r="L383" s="19">
        <v>0</v>
      </c>
      <c r="M383" s="19">
        <f t="shared" si="16"/>
        <v>1</v>
      </c>
      <c r="N383" s="19">
        <v>0</v>
      </c>
      <c r="O383" s="19">
        <f t="shared" si="17"/>
        <v>1</v>
      </c>
      <c r="P383" s="19">
        <v>0</v>
      </c>
      <c r="Q383" s="19">
        <v>0</v>
      </c>
      <c r="R383" s="19">
        <v>0</v>
      </c>
      <c r="S383" s="19">
        <v>1</v>
      </c>
      <c r="T383" s="19">
        <v>0</v>
      </c>
      <c r="U383" t="s">
        <v>618</v>
      </c>
      <c r="V383" s="19">
        <v>384</v>
      </c>
      <c r="W383" s="20">
        <v>0.141334164391203</v>
      </c>
      <c r="X383" s="8"/>
    </row>
    <row r="384" spans="1:24" x14ac:dyDescent="0.25">
      <c r="A384" s="23" t="s">
        <v>1326</v>
      </c>
      <c r="B384" s="15" t="s">
        <v>619</v>
      </c>
      <c r="C384" s="15" t="s">
        <v>25</v>
      </c>
      <c r="D384" s="5" t="s">
        <v>554</v>
      </c>
      <c r="E384" s="16">
        <v>0</v>
      </c>
      <c r="F384" s="16">
        <v>0</v>
      </c>
      <c r="G384" s="16">
        <v>0</v>
      </c>
      <c r="H384" s="16">
        <v>1</v>
      </c>
      <c r="I384" s="16">
        <v>0</v>
      </c>
      <c r="J384" s="16">
        <v>0</v>
      </c>
      <c r="K384" s="16">
        <f t="shared" si="15"/>
        <v>0</v>
      </c>
      <c r="L384" s="16">
        <v>0</v>
      </c>
      <c r="M384" s="16">
        <f t="shared" si="16"/>
        <v>0</v>
      </c>
      <c r="N384" s="16">
        <v>0</v>
      </c>
      <c r="O384" s="16">
        <f t="shared" si="17"/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V384" s="16">
        <v>385</v>
      </c>
      <c r="W384" s="17">
        <v>0.30954017441550868</v>
      </c>
      <c r="X384" s="8"/>
    </row>
    <row r="385" spans="1:24" x14ac:dyDescent="0.25">
      <c r="A385" s="23" t="s">
        <v>1327</v>
      </c>
      <c r="B385" s="18" t="s">
        <v>620</v>
      </c>
      <c r="C385" s="18" t="s">
        <v>7</v>
      </c>
      <c r="D385" s="5" t="s">
        <v>554</v>
      </c>
      <c r="E385" s="19">
        <v>0</v>
      </c>
      <c r="F385" s="19">
        <v>0</v>
      </c>
      <c r="G385" s="19">
        <v>0</v>
      </c>
      <c r="H385" s="19">
        <v>0</v>
      </c>
      <c r="I385" s="19">
        <v>1</v>
      </c>
      <c r="J385" s="19">
        <v>1</v>
      </c>
      <c r="K385" s="19">
        <f t="shared" ref="K385:K448" si="18">IF(I385=1,IF(J385=1,0,1),0)</f>
        <v>0</v>
      </c>
      <c r="L385" s="19">
        <v>0</v>
      </c>
      <c r="M385" s="19">
        <f t="shared" ref="M385:M448" si="19">IF(I385=1,IF(L385=1,0,1),0)</f>
        <v>1</v>
      </c>
      <c r="N385" s="19">
        <v>0</v>
      </c>
      <c r="O385" s="19">
        <f t="shared" ref="O385:O448" si="20">IF(I385=1,IF(N385=1,0,1),0)</f>
        <v>1</v>
      </c>
      <c r="P385" s="19">
        <v>0</v>
      </c>
      <c r="Q385" s="19">
        <v>0</v>
      </c>
      <c r="R385" s="19">
        <v>0</v>
      </c>
      <c r="S385" s="19">
        <v>1</v>
      </c>
      <c r="T385" s="19">
        <v>0</v>
      </c>
      <c r="U385" t="s">
        <v>621</v>
      </c>
      <c r="V385" s="19">
        <v>386</v>
      </c>
      <c r="W385" s="20">
        <v>0.25688712142123998</v>
      </c>
      <c r="X385" s="8"/>
    </row>
    <row r="386" spans="1:24" x14ac:dyDescent="0.25">
      <c r="A386" s="23" t="s">
        <v>1328</v>
      </c>
      <c r="B386" s="18" t="s">
        <v>622</v>
      </c>
      <c r="C386" s="18" t="s">
        <v>7</v>
      </c>
      <c r="D386" s="5" t="s">
        <v>554</v>
      </c>
      <c r="E386" s="19">
        <v>0</v>
      </c>
      <c r="F386" s="19">
        <v>0</v>
      </c>
      <c r="G386" s="19">
        <v>0</v>
      </c>
      <c r="H386" s="19">
        <v>0</v>
      </c>
      <c r="I386" s="19">
        <v>1</v>
      </c>
      <c r="J386" s="19">
        <v>1</v>
      </c>
      <c r="K386" s="19">
        <f t="shared" si="18"/>
        <v>0</v>
      </c>
      <c r="L386" s="19">
        <v>0</v>
      </c>
      <c r="M386" s="19">
        <f t="shared" si="19"/>
        <v>1</v>
      </c>
      <c r="N386" s="19">
        <v>0</v>
      </c>
      <c r="O386" s="19">
        <f t="shared" si="20"/>
        <v>1</v>
      </c>
      <c r="P386" s="19">
        <v>0</v>
      </c>
      <c r="Q386" s="19">
        <v>0</v>
      </c>
      <c r="R386" s="19">
        <v>0</v>
      </c>
      <c r="S386" s="19">
        <v>1</v>
      </c>
      <c r="T386" s="19">
        <v>1</v>
      </c>
      <c r="U386" t="s">
        <v>623</v>
      </c>
      <c r="V386" s="19">
        <v>387</v>
      </c>
      <c r="W386" s="20">
        <v>5.2653052994268701E-2</v>
      </c>
      <c r="X386" s="8"/>
    </row>
    <row r="387" spans="1:24" x14ac:dyDescent="0.25">
      <c r="A387" s="23" t="s">
        <v>1329</v>
      </c>
      <c r="B387" s="9" t="s">
        <v>624</v>
      </c>
      <c r="C387" s="9" t="s">
        <v>4</v>
      </c>
      <c r="D387" s="5" t="s">
        <v>554</v>
      </c>
      <c r="E387" s="10">
        <v>0</v>
      </c>
      <c r="F387" s="10">
        <v>1</v>
      </c>
      <c r="G387" s="10">
        <v>0</v>
      </c>
      <c r="H387" s="10">
        <v>0</v>
      </c>
      <c r="I387" s="10">
        <v>0</v>
      </c>
      <c r="J387" s="10">
        <v>0</v>
      </c>
      <c r="K387" s="10">
        <f t="shared" si="18"/>
        <v>0</v>
      </c>
      <c r="L387" s="10">
        <v>0</v>
      </c>
      <c r="M387" s="10">
        <f t="shared" si="19"/>
        <v>0</v>
      </c>
      <c r="N387" s="10">
        <v>0</v>
      </c>
      <c r="O387" s="10">
        <f t="shared" si="20"/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V387" s="10">
        <v>388</v>
      </c>
      <c r="W387" s="11">
        <v>0.51093338634556407</v>
      </c>
      <c r="X387" s="8"/>
    </row>
    <row r="388" spans="1:24" x14ac:dyDescent="0.25">
      <c r="A388" s="23" t="s">
        <v>1330</v>
      </c>
      <c r="B388" s="12" t="s">
        <v>625</v>
      </c>
      <c r="C388" s="12" t="s">
        <v>5</v>
      </c>
      <c r="D388" s="5" t="s">
        <v>554</v>
      </c>
      <c r="E388" s="13">
        <v>0</v>
      </c>
      <c r="F388" s="13">
        <v>0</v>
      </c>
      <c r="G388" s="13">
        <v>1</v>
      </c>
      <c r="H388" s="13">
        <v>0</v>
      </c>
      <c r="I388" s="13">
        <v>0</v>
      </c>
      <c r="J388" s="13">
        <v>0</v>
      </c>
      <c r="K388" s="13">
        <f t="shared" si="18"/>
        <v>0</v>
      </c>
      <c r="L388" s="13">
        <v>0</v>
      </c>
      <c r="M388" s="13">
        <f t="shared" si="19"/>
        <v>0</v>
      </c>
      <c r="N388" s="13">
        <v>0</v>
      </c>
      <c r="O388" s="13">
        <f t="shared" si="20"/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V388" s="13">
        <v>389</v>
      </c>
      <c r="W388" s="14">
        <v>0.51093338634556407</v>
      </c>
      <c r="X388" s="8"/>
    </row>
    <row r="389" spans="1:24" x14ac:dyDescent="0.25">
      <c r="A389" s="23" t="s">
        <v>1331</v>
      </c>
      <c r="B389" s="15" t="s">
        <v>625</v>
      </c>
      <c r="C389" s="15" t="s">
        <v>25</v>
      </c>
      <c r="D389" s="5" t="s">
        <v>554</v>
      </c>
      <c r="E389" s="16">
        <v>0</v>
      </c>
      <c r="F389" s="16">
        <v>0</v>
      </c>
      <c r="G389" s="16">
        <v>0</v>
      </c>
      <c r="H389" s="16">
        <v>1</v>
      </c>
      <c r="I389" s="16">
        <v>0</v>
      </c>
      <c r="J389" s="16">
        <v>0</v>
      </c>
      <c r="K389" s="16">
        <f t="shared" si="18"/>
        <v>0</v>
      </c>
      <c r="L389" s="16">
        <v>0</v>
      </c>
      <c r="M389" s="16">
        <f t="shared" si="19"/>
        <v>0</v>
      </c>
      <c r="N389" s="16">
        <v>0</v>
      </c>
      <c r="O389" s="16">
        <f t="shared" si="20"/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V389" s="16">
        <v>390</v>
      </c>
      <c r="W389" s="17">
        <v>0.51093338634556407</v>
      </c>
      <c r="X389" s="8"/>
    </row>
    <row r="390" spans="1:24" x14ac:dyDescent="0.25">
      <c r="A390" s="23" t="s">
        <v>1332</v>
      </c>
      <c r="B390" s="18" t="s">
        <v>626</v>
      </c>
      <c r="C390" s="18" t="s">
        <v>7</v>
      </c>
      <c r="D390" s="5" t="s">
        <v>554</v>
      </c>
      <c r="E390" s="19">
        <v>0</v>
      </c>
      <c r="F390" s="19">
        <v>0</v>
      </c>
      <c r="G390" s="19">
        <v>0</v>
      </c>
      <c r="H390" s="19">
        <v>0</v>
      </c>
      <c r="I390" s="19">
        <v>1</v>
      </c>
      <c r="J390" s="19">
        <v>1</v>
      </c>
      <c r="K390" s="19">
        <f t="shared" si="18"/>
        <v>0</v>
      </c>
      <c r="L390" s="19">
        <v>0</v>
      </c>
      <c r="M390" s="19">
        <f t="shared" si="19"/>
        <v>1</v>
      </c>
      <c r="N390" s="19">
        <v>0</v>
      </c>
      <c r="O390" s="19">
        <f t="shared" si="20"/>
        <v>1</v>
      </c>
      <c r="P390" s="19">
        <v>0</v>
      </c>
      <c r="Q390" s="19">
        <v>0</v>
      </c>
      <c r="R390" s="19">
        <v>0</v>
      </c>
      <c r="S390" s="19">
        <v>1</v>
      </c>
      <c r="T390" s="19">
        <v>0</v>
      </c>
      <c r="U390" t="s">
        <v>627</v>
      </c>
      <c r="V390" s="19">
        <v>391</v>
      </c>
      <c r="W390" s="20">
        <v>0.24801723109224699</v>
      </c>
      <c r="X390" s="8"/>
    </row>
    <row r="391" spans="1:24" x14ac:dyDescent="0.25">
      <c r="A391" s="23" t="s">
        <v>1333</v>
      </c>
      <c r="B391" s="18" t="s">
        <v>628</v>
      </c>
      <c r="C391" s="18" t="s">
        <v>7</v>
      </c>
      <c r="D391" s="5" t="s">
        <v>554</v>
      </c>
      <c r="E391" s="19">
        <v>0</v>
      </c>
      <c r="F391" s="19">
        <v>0</v>
      </c>
      <c r="G391" s="19">
        <v>0</v>
      </c>
      <c r="H391" s="19">
        <v>0</v>
      </c>
      <c r="I391" s="19">
        <v>1</v>
      </c>
      <c r="J391" s="19">
        <v>1</v>
      </c>
      <c r="K391" s="19">
        <f t="shared" si="18"/>
        <v>0</v>
      </c>
      <c r="L391" s="19">
        <v>0</v>
      </c>
      <c r="M391" s="19">
        <f t="shared" si="19"/>
        <v>1</v>
      </c>
      <c r="N391" s="19">
        <v>0</v>
      </c>
      <c r="O391" s="19">
        <f t="shared" si="20"/>
        <v>1</v>
      </c>
      <c r="P391" s="19">
        <v>0</v>
      </c>
      <c r="Q391" s="19">
        <v>0</v>
      </c>
      <c r="R391" s="19">
        <v>0</v>
      </c>
      <c r="S391" s="19">
        <v>1</v>
      </c>
      <c r="T391" s="19">
        <v>1</v>
      </c>
      <c r="U391" t="s">
        <v>629</v>
      </c>
      <c r="V391" s="19">
        <v>392</v>
      </c>
      <c r="W391" s="20">
        <v>0.26291615525331702</v>
      </c>
      <c r="X391" s="8"/>
    </row>
    <row r="392" spans="1:24" x14ac:dyDescent="0.25">
      <c r="A392" s="23" t="s">
        <v>1334</v>
      </c>
      <c r="B392" s="5" t="s">
        <v>15</v>
      </c>
      <c r="C392" s="5" t="s">
        <v>3</v>
      </c>
      <c r="D392" s="5" t="s">
        <v>15</v>
      </c>
      <c r="E392" s="6">
        <v>1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f t="shared" si="18"/>
        <v>0</v>
      </c>
      <c r="L392" s="6">
        <v>0</v>
      </c>
      <c r="M392" s="6">
        <f t="shared" si="19"/>
        <v>0</v>
      </c>
      <c r="N392" s="6">
        <v>0</v>
      </c>
      <c r="O392" s="6">
        <f t="shared" si="20"/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V392" s="6">
        <v>393</v>
      </c>
      <c r="W392" s="7">
        <v>16.646278248743599</v>
      </c>
      <c r="X392" s="8"/>
    </row>
    <row r="393" spans="1:24" x14ac:dyDescent="0.25">
      <c r="A393" s="23" t="s">
        <v>1335</v>
      </c>
      <c r="B393" s="9" t="s">
        <v>630</v>
      </c>
      <c r="C393" s="9" t="s">
        <v>4</v>
      </c>
      <c r="D393" s="5" t="s">
        <v>15</v>
      </c>
      <c r="E393" s="10">
        <v>0</v>
      </c>
      <c r="F393" s="10">
        <v>1</v>
      </c>
      <c r="G393" s="10">
        <v>0</v>
      </c>
      <c r="H393" s="10">
        <v>0</v>
      </c>
      <c r="I393" s="10">
        <v>0</v>
      </c>
      <c r="J393" s="10">
        <v>0</v>
      </c>
      <c r="K393" s="10">
        <f t="shared" si="18"/>
        <v>0</v>
      </c>
      <c r="L393" s="10">
        <v>0</v>
      </c>
      <c r="M393" s="10">
        <f t="shared" si="19"/>
        <v>0</v>
      </c>
      <c r="N393" s="10">
        <v>0</v>
      </c>
      <c r="O393" s="10">
        <f t="shared" si="20"/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V393" s="10">
        <v>394</v>
      </c>
      <c r="W393" s="11">
        <v>3.0807926724996189</v>
      </c>
      <c r="X393" s="8"/>
    </row>
    <row r="394" spans="1:24" x14ac:dyDescent="0.25">
      <c r="A394" s="23" t="s">
        <v>1336</v>
      </c>
      <c r="B394" s="12" t="s">
        <v>631</v>
      </c>
      <c r="C394" s="12" t="s">
        <v>5</v>
      </c>
      <c r="D394" s="5" t="s">
        <v>15</v>
      </c>
      <c r="E394" s="13">
        <v>0</v>
      </c>
      <c r="F394" s="13">
        <v>0</v>
      </c>
      <c r="G394" s="13">
        <v>1</v>
      </c>
      <c r="H394" s="13">
        <v>0</v>
      </c>
      <c r="I394" s="13">
        <v>0</v>
      </c>
      <c r="J394" s="13">
        <v>0</v>
      </c>
      <c r="K394" s="13">
        <f t="shared" si="18"/>
        <v>0</v>
      </c>
      <c r="L394" s="13">
        <v>0</v>
      </c>
      <c r="M394" s="13">
        <f t="shared" si="19"/>
        <v>0</v>
      </c>
      <c r="N394" s="13">
        <v>0</v>
      </c>
      <c r="O394" s="13">
        <f t="shared" si="20"/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V394" s="13">
        <v>395</v>
      </c>
      <c r="W394" s="14">
        <v>2.8874307649592299</v>
      </c>
      <c r="X394" s="8"/>
    </row>
    <row r="395" spans="1:24" x14ac:dyDescent="0.25">
      <c r="A395" s="23" t="s">
        <v>1337</v>
      </c>
      <c r="B395" s="15" t="s">
        <v>632</v>
      </c>
      <c r="C395" s="15" t="s">
        <v>25</v>
      </c>
      <c r="D395" s="5" t="s">
        <v>15</v>
      </c>
      <c r="E395" s="16">
        <v>0</v>
      </c>
      <c r="F395" s="16">
        <v>0</v>
      </c>
      <c r="G395" s="16">
        <v>0</v>
      </c>
      <c r="H395" s="16">
        <v>1</v>
      </c>
      <c r="I395" s="16">
        <v>0</v>
      </c>
      <c r="J395" s="16">
        <v>0</v>
      </c>
      <c r="K395" s="16">
        <f t="shared" si="18"/>
        <v>0</v>
      </c>
      <c r="L395" s="16">
        <v>0</v>
      </c>
      <c r="M395" s="16">
        <f t="shared" si="19"/>
        <v>0</v>
      </c>
      <c r="N395" s="16">
        <v>0</v>
      </c>
      <c r="O395" s="16">
        <f t="shared" si="20"/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V395" s="16">
        <v>396</v>
      </c>
      <c r="W395" s="17">
        <v>2.8874307649592299</v>
      </c>
      <c r="X395" s="8"/>
    </row>
    <row r="396" spans="1:24" x14ac:dyDescent="0.25">
      <c r="A396" s="23" t="s">
        <v>1338</v>
      </c>
      <c r="B396" s="18" t="s">
        <v>633</v>
      </c>
      <c r="C396" s="18" t="s">
        <v>7</v>
      </c>
      <c r="D396" s="5" t="s">
        <v>15</v>
      </c>
      <c r="E396" s="19">
        <v>0</v>
      </c>
      <c r="F396" s="19">
        <v>0</v>
      </c>
      <c r="G396" s="19">
        <v>0</v>
      </c>
      <c r="H396" s="19">
        <v>0</v>
      </c>
      <c r="I396" s="19">
        <v>1</v>
      </c>
      <c r="J396" s="19">
        <v>1</v>
      </c>
      <c r="K396" s="19">
        <f t="shared" si="18"/>
        <v>0</v>
      </c>
      <c r="L396" s="19">
        <v>1</v>
      </c>
      <c r="M396" s="19">
        <f t="shared" si="19"/>
        <v>0</v>
      </c>
      <c r="N396" s="19">
        <v>1</v>
      </c>
      <c r="O396" s="19">
        <f t="shared" si="20"/>
        <v>0</v>
      </c>
      <c r="P396" s="19">
        <v>0</v>
      </c>
      <c r="Q396" s="19">
        <v>1</v>
      </c>
      <c r="R396" s="19">
        <v>0</v>
      </c>
      <c r="S396" s="19">
        <v>0</v>
      </c>
      <c r="T396" s="19">
        <v>0</v>
      </c>
      <c r="U396" t="s">
        <v>634</v>
      </c>
      <c r="V396" s="19">
        <v>397</v>
      </c>
      <c r="W396" s="20">
        <v>2.8874307649592299</v>
      </c>
      <c r="X396" s="8"/>
    </row>
    <row r="397" spans="1:24" x14ac:dyDescent="0.25">
      <c r="A397" s="23" t="s">
        <v>1339</v>
      </c>
      <c r="B397" s="12" t="s">
        <v>635</v>
      </c>
      <c r="C397" s="12" t="s">
        <v>5</v>
      </c>
      <c r="D397" s="5" t="s">
        <v>15</v>
      </c>
      <c r="E397" s="13">
        <v>0</v>
      </c>
      <c r="F397" s="13">
        <v>0</v>
      </c>
      <c r="G397" s="13">
        <v>1</v>
      </c>
      <c r="H397" s="13">
        <v>0</v>
      </c>
      <c r="I397" s="13">
        <v>0</v>
      </c>
      <c r="J397" s="13">
        <v>0</v>
      </c>
      <c r="K397" s="13">
        <f t="shared" si="18"/>
        <v>0</v>
      </c>
      <c r="L397" s="13">
        <v>0</v>
      </c>
      <c r="M397" s="13">
        <f t="shared" si="19"/>
        <v>0</v>
      </c>
      <c r="N397" s="13">
        <v>0</v>
      </c>
      <c r="O397" s="13">
        <f t="shared" si="20"/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V397" s="13">
        <v>398</v>
      </c>
      <c r="W397" s="14">
        <v>0.19336190754038901</v>
      </c>
      <c r="X397" s="8"/>
    </row>
    <row r="398" spans="1:24" x14ac:dyDescent="0.25">
      <c r="A398" s="23" t="s">
        <v>1340</v>
      </c>
      <c r="B398" s="15" t="s">
        <v>636</v>
      </c>
      <c r="C398" s="15" t="s">
        <v>25</v>
      </c>
      <c r="D398" s="5" t="s">
        <v>15</v>
      </c>
      <c r="E398" s="16">
        <v>0</v>
      </c>
      <c r="F398" s="16">
        <v>0</v>
      </c>
      <c r="G398" s="16">
        <v>0</v>
      </c>
      <c r="H398" s="16">
        <v>1</v>
      </c>
      <c r="I398" s="16">
        <v>0</v>
      </c>
      <c r="J398" s="16">
        <v>0</v>
      </c>
      <c r="K398" s="16">
        <f t="shared" si="18"/>
        <v>0</v>
      </c>
      <c r="L398" s="16">
        <v>0</v>
      </c>
      <c r="M398" s="16">
        <f t="shared" si="19"/>
        <v>0</v>
      </c>
      <c r="N398" s="16">
        <v>0</v>
      </c>
      <c r="O398" s="16">
        <f t="shared" si="20"/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V398" s="16">
        <v>399</v>
      </c>
      <c r="W398" s="17">
        <v>0.19336190754038901</v>
      </c>
      <c r="X398" s="8"/>
    </row>
    <row r="399" spans="1:24" x14ac:dyDescent="0.25">
      <c r="A399" s="23" t="s">
        <v>1341</v>
      </c>
      <c r="B399" s="18" t="s">
        <v>635</v>
      </c>
      <c r="C399" s="18" t="s">
        <v>7</v>
      </c>
      <c r="D399" s="5" t="s">
        <v>15</v>
      </c>
      <c r="E399" s="19">
        <v>0</v>
      </c>
      <c r="F399" s="19">
        <v>0</v>
      </c>
      <c r="G399" s="19">
        <v>0</v>
      </c>
      <c r="H399" s="19">
        <v>0</v>
      </c>
      <c r="I399" s="19">
        <v>1</v>
      </c>
      <c r="J399" s="19">
        <v>1</v>
      </c>
      <c r="K399" s="19">
        <f t="shared" si="18"/>
        <v>0</v>
      </c>
      <c r="L399" s="19">
        <v>1</v>
      </c>
      <c r="M399" s="19">
        <f t="shared" si="19"/>
        <v>0</v>
      </c>
      <c r="N399" s="19">
        <v>1</v>
      </c>
      <c r="O399" s="19">
        <f t="shared" si="20"/>
        <v>0</v>
      </c>
      <c r="P399" s="19">
        <v>0</v>
      </c>
      <c r="Q399" s="19">
        <v>1</v>
      </c>
      <c r="R399" s="19">
        <v>0</v>
      </c>
      <c r="S399" s="19">
        <v>0</v>
      </c>
      <c r="T399" s="19">
        <v>0</v>
      </c>
      <c r="U399" t="s">
        <v>637</v>
      </c>
      <c r="V399" s="19">
        <v>400</v>
      </c>
      <c r="W399" s="20">
        <v>0.19336190754038901</v>
      </c>
      <c r="X399" s="8"/>
    </row>
    <row r="400" spans="1:24" x14ac:dyDescent="0.25">
      <c r="A400" s="23" t="s">
        <v>1342</v>
      </c>
      <c r="B400" s="9" t="s">
        <v>638</v>
      </c>
      <c r="C400" s="9" t="s">
        <v>4</v>
      </c>
      <c r="D400" s="5" t="s">
        <v>15</v>
      </c>
      <c r="E400" s="10">
        <v>0</v>
      </c>
      <c r="F400" s="10">
        <v>1</v>
      </c>
      <c r="G400" s="10">
        <v>0</v>
      </c>
      <c r="H400" s="10">
        <v>0</v>
      </c>
      <c r="I400" s="10">
        <v>0</v>
      </c>
      <c r="J400" s="10">
        <v>0</v>
      </c>
      <c r="K400" s="10">
        <f t="shared" si="18"/>
        <v>0</v>
      </c>
      <c r="L400" s="10">
        <v>0</v>
      </c>
      <c r="M400" s="10">
        <f t="shared" si="19"/>
        <v>0</v>
      </c>
      <c r="N400" s="10">
        <v>0</v>
      </c>
      <c r="O400" s="10">
        <f t="shared" si="20"/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V400" s="10">
        <v>401</v>
      </c>
      <c r="W400" s="11">
        <v>8.4404824691342615</v>
      </c>
      <c r="X400" s="8"/>
    </row>
    <row r="401" spans="1:24" x14ac:dyDescent="0.25">
      <c r="A401" s="23" t="s">
        <v>1343</v>
      </c>
      <c r="B401" s="12" t="s">
        <v>639</v>
      </c>
      <c r="C401" s="12" t="s">
        <v>5</v>
      </c>
      <c r="D401" s="5" t="s">
        <v>15</v>
      </c>
      <c r="E401" s="13">
        <v>0</v>
      </c>
      <c r="F401" s="13">
        <v>0</v>
      </c>
      <c r="G401" s="13">
        <v>1</v>
      </c>
      <c r="H401" s="13">
        <v>0</v>
      </c>
      <c r="I401" s="13">
        <v>0</v>
      </c>
      <c r="J401" s="13">
        <v>0</v>
      </c>
      <c r="K401" s="13">
        <f t="shared" si="18"/>
        <v>0</v>
      </c>
      <c r="L401" s="13">
        <v>0</v>
      </c>
      <c r="M401" s="13">
        <f t="shared" si="19"/>
        <v>0</v>
      </c>
      <c r="N401" s="13">
        <v>0</v>
      </c>
      <c r="O401" s="13">
        <f t="shared" si="20"/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V401" s="13">
        <v>402</v>
      </c>
      <c r="W401" s="14">
        <v>0.53260233023497705</v>
      </c>
      <c r="X401" s="8"/>
    </row>
    <row r="402" spans="1:24" x14ac:dyDescent="0.25">
      <c r="A402" s="23" t="s">
        <v>1344</v>
      </c>
      <c r="B402" s="15" t="s">
        <v>640</v>
      </c>
      <c r="C402" s="15" t="s">
        <v>25</v>
      </c>
      <c r="D402" s="5" t="s">
        <v>15</v>
      </c>
      <c r="E402" s="16">
        <v>0</v>
      </c>
      <c r="F402" s="16">
        <v>0</v>
      </c>
      <c r="G402" s="16">
        <v>0</v>
      </c>
      <c r="H402" s="16">
        <v>1</v>
      </c>
      <c r="I402" s="16">
        <v>0</v>
      </c>
      <c r="J402" s="16">
        <v>0</v>
      </c>
      <c r="K402" s="16">
        <f t="shared" si="18"/>
        <v>0</v>
      </c>
      <c r="L402" s="16">
        <v>0</v>
      </c>
      <c r="M402" s="16">
        <f t="shared" si="19"/>
        <v>0</v>
      </c>
      <c r="N402" s="16">
        <v>0</v>
      </c>
      <c r="O402" s="16">
        <f t="shared" si="20"/>
        <v>0</v>
      </c>
      <c r="P402" s="16">
        <v>0</v>
      </c>
      <c r="Q402" s="16">
        <v>0</v>
      </c>
      <c r="R402" s="16">
        <v>0</v>
      </c>
      <c r="S402" s="16">
        <v>0</v>
      </c>
      <c r="T402" s="16">
        <v>0</v>
      </c>
      <c r="U402"/>
      <c r="V402" s="16">
        <v>403</v>
      </c>
      <c r="W402" s="17">
        <v>0.53260233023497705</v>
      </c>
      <c r="X402" s="8"/>
    </row>
    <row r="403" spans="1:24" x14ac:dyDescent="0.25">
      <c r="A403" s="23" t="s">
        <v>1345</v>
      </c>
      <c r="B403" s="18" t="s">
        <v>641</v>
      </c>
      <c r="C403" s="18" t="s">
        <v>7</v>
      </c>
      <c r="D403" s="5" t="s">
        <v>15</v>
      </c>
      <c r="E403" s="19">
        <v>0</v>
      </c>
      <c r="F403" s="19">
        <v>0</v>
      </c>
      <c r="G403" s="19">
        <v>0</v>
      </c>
      <c r="H403" s="19">
        <v>0</v>
      </c>
      <c r="I403" s="19">
        <v>1</v>
      </c>
      <c r="J403" s="19">
        <v>1</v>
      </c>
      <c r="K403" s="19">
        <f t="shared" si="18"/>
        <v>0</v>
      </c>
      <c r="L403" s="19">
        <v>1</v>
      </c>
      <c r="M403" s="19">
        <f t="shared" si="19"/>
        <v>0</v>
      </c>
      <c r="N403" s="19">
        <v>1</v>
      </c>
      <c r="O403" s="19">
        <f t="shared" si="20"/>
        <v>0</v>
      </c>
      <c r="P403" s="19">
        <v>0</v>
      </c>
      <c r="Q403" s="19">
        <v>1</v>
      </c>
      <c r="R403" s="19">
        <v>0</v>
      </c>
      <c r="S403" s="19">
        <v>0</v>
      </c>
      <c r="T403" s="19">
        <v>0</v>
      </c>
      <c r="U403" t="s">
        <v>642</v>
      </c>
      <c r="V403" s="19">
        <v>404</v>
      </c>
      <c r="W403" s="20">
        <v>0.26634297545873298</v>
      </c>
      <c r="X403" s="8"/>
    </row>
    <row r="404" spans="1:24" x14ac:dyDescent="0.25">
      <c r="A404" s="23" t="s">
        <v>1346</v>
      </c>
      <c r="B404" s="18" t="s">
        <v>643</v>
      </c>
      <c r="C404" s="18" t="s">
        <v>7</v>
      </c>
      <c r="D404" s="5" t="s">
        <v>15</v>
      </c>
      <c r="E404" s="19">
        <v>0</v>
      </c>
      <c r="F404" s="19">
        <v>0</v>
      </c>
      <c r="G404" s="19">
        <v>0</v>
      </c>
      <c r="H404" s="19">
        <v>0</v>
      </c>
      <c r="I404" s="19">
        <v>1</v>
      </c>
      <c r="J404" s="19">
        <v>1</v>
      </c>
      <c r="K404" s="19">
        <f t="shared" si="18"/>
        <v>0</v>
      </c>
      <c r="L404" s="19">
        <v>1</v>
      </c>
      <c r="M404" s="19">
        <f t="shared" si="19"/>
        <v>0</v>
      </c>
      <c r="N404" s="19">
        <v>1</v>
      </c>
      <c r="O404" s="19">
        <f t="shared" si="20"/>
        <v>0</v>
      </c>
      <c r="P404" s="19">
        <v>0</v>
      </c>
      <c r="Q404" s="19">
        <v>1</v>
      </c>
      <c r="R404" s="19">
        <v>0</v>
      </c>
      <c r="S404" s="19">
        <v>0</v>
      </c>
      <c r="T404" s="19">
        <v>0</v>
      </c>
      <c r="U404" t="s">
        <v>644</v>
      </c>
      <c r="V404" s="19">
        <v>405</v>
      </c>
      <c r="W404" s="20">
        <v>0.16565199252517199</v>
      </c>
      <c r="X404" s="8"/>
    </row>
    <row r="405" spans="1:24" x14ac:dyDescent="0.25">
      <c r="A405" s="23" t="s">
        <v>1347</v>
      </c>
      <c r="B405" s="18" t="s">
        <v>645</v>
      </c>
      <c r="C405" s="18" t="s">
        <v>7</v>
      </c>
      <c r="D405" s="5" t="s">
        <v>15</v>
      </c>
      <c r="E405" s="19">
        <v>0</v>
      </c>
      <c r="F405" s="19">
        <v>0</v>
      </c>
      <c r="G405" s="19">
        <v>0</v>
      </c>
      <c r="H405" s="19">
        <v>0</v>
      </c>
      <c r="I405" s="19">
        <v>1</v>
      </c>
      <c r="J405" s="19">
        <v>1</v>
      </c>
      <c r="K405" s="19">
        <f t="shared" si="18"/>
        <v>0</v>
      </c>
      <c r="L405" s="19">
        <v>1</v>
      </c>
      <c r="M405" s="19">
        <f t="shared" si="19"/>
        <v>0</v>
      </c>
      <c r="N405" s="19">
        <v>1</v>
      </c>
      <c r="O405" s="19">
        <f t="shared" si="20"/>
        <v>0</v>
      </c>
      <c r="P405" s="19">
        <v>0</v>
      </c>
      <c r="Q405" s="19">
        <v>1</v>
      </c>
      <c r="R405" s="19">
        <v>0</v>
      </c>
      <c r="S405" s="19">
        <v>0</v>
      </c>
      <c r="T405" s="19">
        <v>0</v>
      </c>
      <c r="U405" t="s">
        <v>646</v>
      </c>
      <c r="V405" s="19">
        <v>406</v>
      </c>
      <c r="W405" s="20">
        <v>2.58918325969218E-2</v>
      </c>
      <c r="X405" s="8"/>
    </row>
    <row r="406" spans="1:24" x14ac:dyDescent="0.25">
      <c r="A406" s="23" t="s">
        <v>1348</v>
      </c>
      <c r="B406" s="18" t="s">
        <v>647</v>
      </c>
      <c r="C406" s="18" t="s">
        <v>7</v>
      </c>
      <c r="D406" s="5" t="s">
        <v>15</v>
      </c>
      <c r="E406" s="19">
        <v>0</v>
      </c>
      <c r="F406" s="19">
        <v>0</v>
      </c>
      <c r="G406" s="19">
        <v>0</v>
      </c>
      <c r="H406" s="19">
        <v>0</v>
      </c>
      <c r="I406" s="19">
        <v>1</v>
      </c>
      <c r="J406" s="19">
        <v>1</v>
      </c>
      <c r="K406" s="19">
        <f t="shared" si="18"/>
        <v>0</v>
      </c>
      <c r="L406" s="19">
        <v>1</v>
      </c>
      <c r="M406" s="19">
        <f t="shared" si="19"/>
        <v>0</v>
      </c>
      <c r="N406" s="19">
        <v>1</v>
      </c>
      <c r="O406" s="19">
        <f t="shared" si="20"/>
        <v>0</v>
      </c>
      <c r="P406" s="19">
        <v>0</v>
      </c>
      <c r="Q406" s="19">
        <v>1</v>
      </c>
      <c r="R406" s="19">
        <v>0</v>
      </c>
      <c r="S406" s="19">
        <v>0</v>
      </c>
      <c r="T406" s="19">
        <v>0</v>
      </c>
      <c r="U406" t="s">
        <v>648</v>
      </c>
      <c r="V406" s="19">
        <v>407</v>
      </c>
      <c r="W406" s="20">
        <v>3.8563705557218698E-2</v>
      </c>
      <c r="X406" s="8"/>
    </row>
    <row r="407" spans="1:24" x14ac:dyDescent="0.25">
      <c r="A407" s="23" t="s">
        <v>1349</v>
      </c>
      <c r="B407" s="18" t="s">
        <v>649</v>
      </c>
      <c r="C407" s="18" t="s">
        <v>7</v>
      </c>
      <c r="D407" s="5" t="s">
        <v>15</v>
      </c>
      <c r="E407" s="19">
        <v>0</v>
      </c>
      <c r="F407" s="19">
        <v>0</v>
      </c>
      <c r="G407" s="19">
        <v>0</v>
      </c>
      <c r="H407" s="19">
        <v>0</v>
      </c>
      <c r="I407" s="19">
        <v>1</v>
      </c>
      <c r="J407" s="19">
        <v>1</v>
      </c>
      <c r="K407" s="19">
        <f t="shared" si="18"/>
        <v>0</v>
      </c>
      <c r="L407" s="19">
        <v>1</v>
      </c>
      <c r="M407" s="19">
        <f t="shared" si="19"/>
        <v>0</v>
      </c>
      <c r="N407" s="19">
        <v>1</v>
      </c>
      <c r="O407" s="19">
        <f t="shared" si="20"/>
        <v>0</v>
      </c>
      <c r="P407" s="19">
        <v>0</v>
      </c>
      <c r="Q407" s="19">
        <v>1</v>
      </c>
      <c r="R407" s="19">
        <v>0</v>
      </c>
      <c r="S407" s="19">
        <v>0</v>
      </c>
      <c r="T407" s="19">
        <v>1</v>
      </c>
      <c r="U407" t="s">
        <v>650</v>
      </c>
      <c r="V407" s="19">
        <v>408</v>
      </c>
      <c r="W407" s="20">
        <v>3.6151824096931601E-2</v>
      </c>
      <c r="X407" s="8"/>
    </row>
    <row r="408" spans="1:24" x14ac:dyDescent="0.25">
      <c r="A408" s="23" t="s">
        <v>1350</v>
      </c>
      <c r="B408" s="12" t="s">
        <v>651</v>
      </c>
      <c r="C408" s="12" t="s">
        <v>5</v>
      </c>
      <c r="D408" s="5" t="s">
        <v>15</v>
      </c>
      <c r="E408" s="13">
        <v>0</v>
      </c>
      <c r="F408" s="13">
        <v>0</v>
      </c>
      <c r="G408" s="13">
        <v>1</v>
      </c>
      <c r="H408" s="13">
        <v>0</v>
      </c>
      <c r="I408" s="13">
        <v>0</v>
      </c>
      <c r="J408" s="13">
        <v>0</v>
      </c>
      <c r="K408" s="13">
        <f t="shared" si="18"/>
        <v>0</v>
      </c>
      <c r="L408" s="13">
        <v>0</v>
      </c>
      <c r="M408" s="13">
        <f t="shared" si="19"/>
        <v>0</v>
      </c>
      <c r="N408" s="13">
        <v>0</v>
      </c>
      <c r="O408" s="13">
        <f t="shared" si="20"/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/>
      <c r="V408" s="13">
        <v>409</v>
      </c>
      <c r="W408" s="14">
        <v>6.9406520119758444</v>
      </c>
      <c r="X408" s="8"/>
    </row>
    <row r="409" spans="1:24" x14ac:dyDescent="0.25">
      <c r="A409" s="23" t="s">
        <v>1351</v>
      </c>
      <c r="B409" s="15" t="s">
        <v>652</v>
      </c>
      <c r="C409" s="15" t="s">
        <v>25</v>
      </c>
      <c r="D409" s="5" t="s">
        <v>15</v>
      </c>
      <c r="E409" s="16">
        <v>0</v>
      </c>
      <c r="F409" s="16">
        <v>0</v>
      </c>
      <c r="G409" s="16">
        <v>0</v>
      </c>
      <c r="H409" s="16">
        <v>1</v>
      </c>
      <c r="I409" s="16">
        <v>0</v>
      </c>
      <c r="J409" s="16">
        <v>0</v>
      </c>
      <c r="K409" s="16">
        <f t="shared" si="18"/>
        <v>0</v>
      </c>
      <c r="L409" s="16">
        <v>0</v>
      </c>
      <c r="M409" s="16">
        <f t="shared" si="19"/>
        <v>0</v>
      </c>
      <c r="N409" s="16">
        <v>0</v>
      </c>
      <c r="O409" s="16">
        <f t="shared" si="20"/>
        <v>0</v>
      </c>
      <c r="P409" s="16">
        <v>0</v>
      </c>
      <c r="Q409" s="16">
        <v>0</v>
      </c>
      <c r="R409" s="16">
        <v>0</v>
      </c>
      <c r="S409" s="16">
        <v>0</v>
      </c>
      <c r="T409" s="16">
        <v>0</v>
      </c>
      <c r="U409"/>
      <c r="V409" s="16">
        <v>410</v>
      </c>
      <c r="W409" s="17">
        <v>6.9406520119758444</v>
      </c>
      <c r="X409" s="8"/>
    </row>
    <row r="410" spans="1:24" x14ac:dyDescent="0.25">
      <c r="A410" s="23" t="s">
        <v>1352</v>
      </c>
      <c r="B410" s="18" t="s">
        <v>653</v>
      </c>
      <c r="C410" s="18" t="s">
        <v>7</v>
      </c>
      <c r="D410" s="5" t="s">
        <v>15</v>
      </c>
      <c r="E410" s="19">
        <v>0</v>
      </c>
      <c r="F410" s="19">
        <v>0</v>
      </c>
      <c r="G410" s="19">
        <v>0</v>
      </c>
      <c r="H410" s="19">
        <v>0</v>
      </c>
      <c r="I410" s="19">
        <v>1</v>
      </c>
      <c r="J410" s="19">
        <v>0</v>
      </c>
      <c r="K410" s="19">
        <f t="shared" si="18"/>
        <v>1</v>
      </c>
      <c r="L410" s="19">
        <v>1</v>
      </c>
      <c r="M410" s="19">
        <f t="shared" si="19"/>
        <v>0</v>
      </c>
      <c r="N410" s="19">
        <v>1</v>
      </c>
      <c r="O410" s="19">
        <f t="shared" si="20"/>
        <v>0</v>
      </c>
      <c r="P410" s="19">
        <v>0</v>
      </c>
      <c r="Q410" s="19">
        <v>1</v>
      </c>
      <c r="R410" s="19">
        <v>0</v>
      </c>
      <c r="S410" s="19">
        <v>0</v>
      </c>
      <c r="T410" s="19">
        <v>0</v>
      </c>
      <c r="U410" t="s">
        <v>654</v>
      </c>
      <c r="V410" s="19">
        <v>411</v>
      </c>
      <c r="W410" s="20">
        <v>3.2595149656711602</v>
      </c>
      <c r="X410" s="8"/>
    </row>
    <row r="411" spans="1:24" x14ac:dyDescent="0.25">
      <c r="A411" s="23" t="s">
        <v>1353</v>
      </c>
      <c r="B411" s="18" t="s">
        <v>655</v>
      </c>
      <c r="C411" s="18" t="s">
        <v>7</v>
      </c>
      <c r="D411" s="5" t="s">
        <v>15</v>
      </c>
      <c r="E411" s="19">
        <v>0</v>
      </c>
      <c r="F411" s="19">
        <v>0</v>
      </c>
      <c r="G411" s="19">
        <v>0</v>
      </c>
      <c r="H411" s="19">
        <v>0</v>
      </c>
      <c r="I411" s="19">
        <v>1</v>
      </c>
      <c r="J411" s="19">
        <v>0</v>
      </c>
      <c r="K411" s="19">
        <f t="shared" si="18"/>
        <v>1</v>
      </c>
      <c r="L411" s="19">
        <v>1</v>
      </c>
      <c r="M411" s="19">
        <f t="shared" si="19"/>
        <v>0</v>
      </c>
      <c r="N411" s="19">
        <v>1</v>
      </c>
      <c r="O411" s="19">
        <f t="shared" si="20"/>
        <v>0</v>
      </c>
      <c r="P411" s="19">
        <v>0</v>
      </c>
      <c r="Q411" s="19">
        <v>1</v>
      </c>
      <c r="R411" s="19">
        <v>0</v>
      </c>
      <c r="S411" s="19">
        <v>0</v>
      </c>
      <c r="T411" s="19">
        <v>0</v>
      </c>
      <c r="U411" t="s">
        <v>656</v>
      </c>
      <c r="V411" s="19">
        <v>412</v>
      </c>
      <c r="W411" s="20">
        <v>2.54995261330957</v>
      </c>
      <c r="X411" s="8"/>
    </row>
    <row r="412" spans="1:24" x14ac:dyDescent="0.25">
      <c r="A412" s="23" t="s">
        <v>1354</v>
      </c>
      <c r="B412" s="18" t="s">
        <v>657</v>
      </c>
      <c r="C412" s="18" t="s">
        <v>7</v>
      </c>
      <c r="D412" s="5" t="s">
        <v>15</v>
      </c>
      <c r="E412" s="19">
        <v>0</v>
      </c>
      <c r="F412" s="19">
        <v>0</v>
      </c>
      <c r="G412" s="19">
        <v>0</v>
      </c>
      <c r="H412" s="19">
        <v>0</v>
      </c>
      <c r="I412" s="19">
        <v>1</v>
      </c>
      <c r="J412" s="19">
        <v>0</v>
      </c>
      <c r="K412" s="19">
        <f t="shared" si="18"/>
        <v>1</v>
      </c>
      <c r="L412" s="19">
        <v>1</v>
      </c>
      <c r="M412" s="19">
        <f t="shared" si="19"/>
        <v>0</v>
      </c>
      <c r="N412" s="19">
        <v>1</v>
      </c>
      <c r="O412" s="19">
        <f t="shared" si="20"/>
        <v>0</v>
      </c>
      <c r="P412" s="19">
        <v>0</v>
      </c>
      <c r="Q412" s="19">
        <v>1</v>
      </c>
      <c r="R412" s="19">
        <v>0</v>
      </c>
      <c r="S412" s="19">
        <v>0</v>
      </c>
      <c r="T412" s="19">
        <v>0</v>
      </c>
      <c r="U412" t="s">
        <v>658</v>
      </c>
      <c r="V412" s="19">
        <v>413</v>
      </c>
      <c r="W412" s="20">
        <v>0.69143499367112504</v>
      </c>
      <c r="X412" s="8"/>
    </row>
    <row r="413" spans="1:24" x14ac:dyDescent="0.25">
      <c r="A413" s="23" t="s">
        <v>1355</v>
      </c>
      <c r="B413" s="18" t="s">
        <v>659</v>
      </c>
      <c r="C413" s="18" t="s">
        <v>7</v>
      </c>
      <c r="D413" s="5" t="s">
        <v>15</v>
      </c>
      <c r="E413" s="19">
        <v>0</v>
      </c>
      <c r="F413" s="19">
        <v>0</v>
      </c>
      <c r="G413" s="19">
        <v>0</v>
      </c>
      <c r="H413" s="19">
        <v>0</v>
      </c>
      <c r="I413" s="19">
        <v>1</v>
      </c>
      <c r="J413" s="19">
        <v>0</v>
      </c>
      <c r="K413" s="19">
        <f t="shared" si="18"/>
        <v>1</v>
      </c>
      <c r="L413" s="19">
        <v>1</v>
      </c>
      <c r="M413" s="19">
        <f t="shared" si="19"/>
        <v>0</v>
      </c>
      <c r="N413" s="19">
        <v>1</v>
      </c>
      <c r="O413" s="19">
        <f t="shared" si="20"/>
        <v>0</v>
      </c>
      <c r="P413" s="19">
        <v>0</v>
      </c>
      <c r="Q413" s="19">
        <v>1</v>
      </c>
      <c r="R413" s="19">
        <v>0</v>
      </c>
      <c r="S413" s="19">
        <v>0</v>
      </c>
      <c r="T413" s="19">
        <v>0</v>
      </c>
      <c r="U413" t="s">
        <v>660</v>
      </c>
      <c r="V413" s="19">
        <v>414</v>
      </c>
      <c r="W413" s="20">
        <v>0.31230749259825002</v>
      </c>
      <c r="X413" s="8"/>
    </row>
    <row r="414" spans="1:24" x14ac:dyDescent="0.25">
      <c r="A414" s="23" t="s">
        <v>1356</v>
      </c>
      <c r="B414" s="18" t="s">
        <v>661</v>
      </c>
      <c r="C414" s="18" t="s">
        <v>7</v>
      </c>
      <c r="D414" s="5" t="s">
        <v>15</v>
      </c>
      <c r="E414" s="19">
        <v>0</v>
      </c>
      <c r="F414" s="19">
        <v>0</v>
      </c>
      <c r="G414" s="19">
        <v>0</v>
      </c>
      <c r="H414" s="19">
        <v>0</v>
      </c>
      <c r="I414" s="19">
        <v>1</v>
      </c>
      <c r="J414" s="19">
        <v>0</v>
      </c>
      <c r="K414" s="19">
        <f t="shared" si="18"/>
        <v>1</v>
      </c>
      <c r="L414" s="19">
        <v>1</v>
      </c>
      <c r="M414" s="19">
        <f t="shared" si="19"/>
        <v>0</v>
      </c>
      <c r="N414" s="19">
        <v>1</v>
      </c>
      <c r="O414" s="19">
        <f t="shared" si="20"/>
        <v>0</v>
      </c>
      <c r="P414" s="19">
        <v>0</v>
      </c>
      <c r="Q414" s="19">
        <v>1</v>
      </c>
      <c r="R414" s="19">
        <v>0</v>
      </c>
      <c r="S414" s="19">
        <v>0</v>
      </c>
      <c r="T414" s="19">
        <v>0</v>
      </c>
      <c r="U414" t="s">
        <v>662</v>
      </c>
      <c r="V414" s="19">
        <v>415</v>
      </c>
      <c r="W414" s="20">
        <v>0.12744194672574</v>
      </c>
      <c r="X414" s="8"/>
    </row>
    <row r="415" spans="1:24" x14ac:dyDescent="0.25">
      <c r="A415" s="23" t="s">
        <v>1357</v>
      </c>
      <c r="B415" s="12" t="s">
        <v>663</v>
      </c>
      <c r="C415" s="12" t="s">
        <v>5</v>
      </c>
      <c r="D415" s="5" t="s">
        <v>15</v>
      </c>
      <c r="E415" s="13">
        <v>0</v>
      </c>
      <c r="F415" s="13">
        <v>0</v>
      </c>
      <c r="G415" s="13">
        <v>1</v>
      </c>
      <c r="H415" s="13">
        <v>0</v>
      </c>
      <c r="I415" s="13">
        <v>0</v>
      </c>
      <c r="J415" s="13">
        <v>0</v>
      </c>
      <c r="K415" s="13">
        <f t="shared" si="18"/>
        <v>0</v>
      </c>
      <c r="L415" s="13">
        <v>0</v>
      </c>
      <c r="M415" s="13">
        <f t="shared" si="19"/>
        <v>0</v>
      </c>
      <c r="N415" s="13">
        <v>0</v>
      </c>
      <c r="O415" s="13">
        <f t="shared" si="20"/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V415" s="13">
        <v>416</v>
      </c>
      <c r="W415" s="14">
        <v>0.87730871422119105</v>
      </c>
      <c r="X415" s="8"/>
    </row>
    <row r="416" spans="1:24" x14ac:dyDescent="0.25">
      <c r="A416" s="23" t="s">
        <v>1358</v>
      </c>
      <c r="B416" s="15" t="s">
        <v>664</v>
      </c>
      <c r="C416" s="15" t="s">
        <v>25</v>
      </c>
      <c r="D416" s="5" t="s">
        <v>15</v>
      </c>
      <c r="E416" s="16">
        <v>0</v>
      </c>
      <c r="F416" s="16">
        <v>0</v>
      </c>
      <c r="G416" s="16">
        <v>0</v>
      </c>
      <c r="H416" s="16">
        <v>1</v>
      </c>
      <c r="I416" s="16">
        <v>0</v>
      </c>
      <c r="J416" s="16">
        <v>0</v>
      </c>
      <c r="K416" s="16">
        <f t="shared" si="18"/>
        <v>0</v>
      </c>
      <c r="L416" s="16">
        <v>0</v>
      </c>
      <c r="M416" s="16">
        <f t="shared" si="19"/>
        <v>0</v>
      </c>
      <c r="N416" s="16">
        <v>0</v>
      </c>
      <c r="O416" s="16">
        <f t="shared" si="20"/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V416" s="16">
        <v>417</v>
      </c>
      <c r="W416" s="17">
        <v>0.87730871422119105</v>
      </c>
      <c r="X416" s="8"/>
    </row>
    <row r="417" spans="1:24" x14ac:dyDescent="0.25">
      <c r="A417" s="23" t="s">
        <v>1359</v>
      </c>
      <c r="B417" s="18" t="s">
        <v>665</v>
      </c>
      <c r="C417" s="18" t="s">
        <v>7</v>
      </c>
      <c r="D417" s="5" t="s">
        <v>15</v>
      </c>
      <c r="E417" s="19">
        <v>0</v>
      </c>
      <c r="F417" s="19">
        <v>0</v>
      </c>
      <c r="G417" s="19">
        <v>0</v>
      </c>
      <c r="H417" s="19">
        <v>0</v>
      </c>
      <c r="I417" s="19">
        <v>1</v>
      </c>
      <c r="J417" s="19">
        <v>1</v>
      </c>
      <c r="K417" s="19">
        <f t="shared" si="18"/>
        <v>0</v>
      </c>
      <c r="L417" s="19">
        <v>0</v>
      </c>
      <c r="M417" s="19">
        <f t="shared" si="19"/>
        <v>1</v>
      </c>
      <c r="N417" s="19">
        <v>0</v>
      </c>
      <c r="O417" s="19">
        <f t="shared" si="20"/>
        <v>1</v>
      </c>
      <c r="P417" s="19">
        <v>0</v>
      </c>
      <c r="Q417" s="19">
        <v>1</v>
      </c>
      <c r="R417" s="19">
        <v>0</v>
      </c>
      <c r="S417" s="19">
        <v>0</v>
      </c>
      <c r="T417" s="19">
        <v>0</v>
      </c>
      <c r="U417" t="s">
        <v>666</v>
      </c>
      <c r="V417" s="19">
        <v>418</v>
      </c>
      <c r="W417" s="20">
        <v>0.78974900868541498</v>
      </c>
      <c r="X417" s="8"/>
    </row>
    <row r="418" spans="1:24" x14ac:dyDescent="0.25">
      <c r="A418" s="23" t="s">
        <v>1360</v>
      </c>
      <c r="B418" s="18" t="s">
        <v>667</v>
      </c>
      <c r="C418" s="18" t="s">
        <v>7</v>
      </c>
      <c r="D418" s="5" t="s">
        <v>15</v>
      </c>
      <c r="E418" s="19">
        <v>0</v>
      </c>
      <c r="F418" s="19">
        <v>0</v>
      </c>
      <c r="G418" s="19">
        <v>0</v>
      </c>
      <c r="H418" s="19">
        <v>0</v>
      </c>
      <c r="I418" s="19">
        <v>1</v>
      </c>
      <c r="J418" s="19">
        <v>1</v>
      </c>
      <c r="K418" s="19">
        <f t="shared" si="18"/>
        <v>0</v>
      </c>
      <c r="L418" s="19">
        <v>0</v>
      </c>
      <c r="M418" s="19">
        <f t="shared" si="19"/>
        <v>1</v>
      </c>
      <c r="N418" s="19">
        <v>0</v>
      </c>
      <c r="O418" s="19">
        <f t="shared" si="20"/>
        <v>1</v>
      </c>
      <c r="P418" s="19">
        <v>0</v>
      </c>
      <c r="Q418" s="19">
        <v>1</v>
      </c>
      <c r="R418" s="19">
        <v>0</v>
      </c>
      <c r="S418" s="19">
        <v>0</v>
      </c>
      <c r="T418" s="19">
        <v>0</v>
      </c>
      <c r="U418" t="s">
        <v>668</v>
      </c>
      <c r="V418" s="19">
        <v>419</v>
      </c>
      <c r="W418" s="20">
        <v>8.7559705535776106E-2</v>
      </c>
      <c r="X418" s="8"/>
    </row>
    <row r="419" spans="1:24" x14ac:dyDescent="0.25">
      <c r="A419" s="23" t="s">
        <v>1361</v>
      </c>
      <c r="B419" s="12" t="s">
        <v>669</v>
      </c>
      <c r="C419" s="12" t="s">
        <v>5</v>
      </c>
      <c r="D419" s="5" t="s">
        <v>15</v>
      </c>
      <c r="E419" s="13">
        <v>0</v>
      </c>
      <c r="F419" s="13">
        <v>0</v>
      </c>
      <c r="G419" s="13">
        <v>1</v>
      </c>
      <c r="H419" s="13">
        <v>0</v>
      </c>
      <c r="I419" s="13">
        <v>0</v>
      </c>
      <c r="J419" s="13">
        <v>0</v>
      </c>
      <c r="K419" s="13">
        <f t="shared" si="18"/>
        <v>0</v>
      </c>
      <c r="L419" s="13">
        <v>0</v>
      </c>
      <c r="M419" s="13">
        <f t="shared" si="19"/>
        <v>0</v>
      </c>
      <c r="N419" s="13">
        <v>0</v>
      </c>
      <c r="O419" s="13">
        <f t="shared" si="20"/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V419" s="13">
        <v>420</v>
      </c>
      <c r="W419" s="14">
        <v>8.9919412702247403E-2</v>
      </c>
      <c r="X419" s="8"/>
    </row>
    <row r="420" spans="1:24" x14ac:dyDescent="0.25">
      <c r="A420" s="23" t="s">
        <v>1362</v>
      </c>
      <c r="B420" s="15" t="s">
        <v>669</v>
      </c>
      <c r="C420" s="15" t="s">
        <v>25</v>
      </c>
      <c r="D420" s="5" t="s">
        <v>15</v>
      </c>
      <c r="E420" s="16">
        <v>0</v>
      </c>
      <c r="F420" s="16">
        <v>0</v>
      </c>
      <c r="G420" s="16">
        <v>0</v>
      </c>
      <c r="H420" s="16">
        <v>1</v>
      </c>
      <c r="I420" s="16">
        <v>0</v>
      </c>
      <c r="J420" s="16">
        <v>0</v>
      </c>
      <c r="K420" s="16">
        <f t="shared" si="18"/>
        <v>0</v>
      </c>
      <c r="L420" s="16">
        <v>0</v>
      </c>
      <c r="M420" s="16">
        <f t="shared" si="19"/>
        <v>0</v>
      </c>
      <c r="N420" s="16">
        <v>0</v>
      </c>
      <c r="O420" s="16">
        <f t="shared" si="20"/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V420" s="16">
        <v>421</v>
      </c>
      <c r="W420" s="17">
        <v>8.9919412702247403E-2</v>
      </c>
      <c r="X420" s="8"/>
    </row>
    <row r="421" spans="1:24" x14ac:dyDescent="0.25">
      <c r="A421" s="23" t="s">
        <v>1363</v>
      </c>
      <c r="B421" s="18" t="s">
        <v>670</v>
      </c>
      <c r="C421" s="18" t="s">
        <v>7</v>
      </c>
      <c r="D421" s="5" t="s">
        <v>15</v>
      </c>
      <c r="E421" s="19">
        <v>0</v>
      </c>
      <c r="F421" s="19">
        <v>0</v>
      </c>
      <c r="G421" s="19">
        <v>0</v>
      </c>
      <c r="H421" s="19">
        <v>0</v>
      </c>
      <c r="I421" s="19">
        <v>1</v>
      </c>
      <c r="J421" s="19">
        <v>1</v>
      </c>
      <c r="K421" s="19">
        <f t="shared" si="18"/>
        <v>0</v>
      </c>
      <c r="L421" s="19">
        <v>0</v>
      </c>
      <c r="M421" s="19">
        <f t="shared" si="19"/>
        <v>1</v>
      </c>
      <c r="N421" s="19">
        <v>0</v>
      </c>
      <c r="O421" s="19">
        <f t="shared" si="20"/>
        <v>1</v>
      </c>
      <c r="P421" s="19">
        <v>0</v>
      </c>
      <c r="Q421" s="19">
        <v>1</v>
      </c>
      <c r="R421" s="19">
        <v>0</v>
      </c>
      <c r="S421" s="19">
        <v>0</v>
      </c>
      <c r="T421" s="19">
        <v>1</v>
      </c>
      <c r="U421" t="s">
        <v>671</v>
      </c>
      <c r="V421" s="19">
        <v>422</v>
      </c>
      <c r="W421" s="20">
        <v>5.7251021832658303E-2</v>
      </c>
      <c r="X421" s="8"/>
    </row>
    <row r="422" spans="1:24" x14ac:dyDescent="0.25">
      <c r="A422" s="23" t="s">
        <v>1364</v>
      </c>
      <c r="B422" s="18" t="s">
        <v>672</v>
      </c>
      <c r="C422" s="18" t="s">
        <v>7</v>
      </c>
      <c r="D422" s="5" t="s">
        <v>15</v>
      </c>
      <c r="E422" s="19">
        <v>0</v>
      </c>
      <c r="F422" s="19">
        <v>0</v>
      </c>
      <c r="G422" s="19">
        <v>0</v>
      </c>
      <c r="H422" s="19">
        <v>0</v>
      </c>
      <c r="I422" s="19">
        <v>1</v>
      </c>
      <c r="J422" s="19">
        <v>1</v>
      </c>
      <c r="K422" s="19">
        <f t="shared" si="18"/>
        <v>0</v>
      </c>
      <c r="L422" s="19">
        <v>0</v>
      </c>
      <c r="M422" s="19">
        <f t="shared" si="19"/>
        <v>1</v>
      </c>
      <c r="N422" s="19">
        <v>0</v>
      </c>
      <c r="O422" s="19">
        <f t="shared" si="20"/>
        <v>1</v>
      </c>
      <c r="P422" s="19">
        <v>0</v>
      </c>
      <c r="Q422" s="19">
        <v>1</v>
      </c>
      <c r="R422" s="19">
        <v>0</v>
      </c>
      <c r="S422" s="19">
        <v>0</v>
      </c>
      <c r="T422" s="19">
        <v>1</v>
      </c>
      <c r="U422" t="s">
        <v>673</v>
      </c>
      <c r="V422" s="19">
        <v>423</v>
      </c>
      <c r="W422" s="20">
        <v>3.2668390869589101E-2</v>
      </c>
      <c r="X422" s="8"/>
    </row>
    <row r="423" spans="1:24" x14ac:dyDescent="0.25">
      <c r="A423" s="23" t="s">
        <v>1365</v>
      </c>
      <c r="B423" s="9" t="s">
        <v>674</v>
      </c>
      <c r="C423" s="9" t="s">
        <v>4</v>
      </c>
      <c r="D423" s="5" t="s">
        <v>15</v>
      </c>
      <c r="E423" s="10">
        <v>0</v>
      </c>
      <c r="F423" s="10">
        <v>1</v>
      </c>
      <c r="G423" s="10">
        <v>0</v>
      </c>
      <c r="H423" s="10">
        <v>0</v>
      </c>
      <c r="I423" s="10">
        <v>0</v>
      </c>
      <c r="J423" s="10">
        <v>0</v>
      </c>
      <c r="K423" s="10">
        <f t="shared" si="18"/>
        <v>0</v>
      </c>
      <c r="L423" s="10">
        <v>0</v>
      </c>
      <c r="M423" s="10">
        <f t="shared" si="19"/>
        <v>0</v>
      </c>
      <c r="N423" s="10">
        <v>0</v>
      </c>
      <c r="O423" s="10">
        <f t="shared" si="20"/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V423" s="10">
        <v>424</v>
      </c>
      <c r="W423" s="11">
        <v>5.1250031071097224</v>
      </c>
      <c r="X423" s="8"/>
    </row>
    <row r="424" spans="1:24" x14ac:dyDescent="0.25">
      <c r="A424" s="23" t="s">
        <v>1366</v>
      </c>
      <c r="B424" s="12" t="s">
        <v>675</v>
      </c>
      <c r="C424" s="12" t="s">
        <v>5</v>
      </c>
      <c r="D424" s="5" t="s">
        <v>15</v>
      </c>
      <c r="E424" s="13">
        <v>0</v>
      </c>
      <c r="F424" s="13">
        <v>0</v>
      </c>
      <c r="G424" s="13">
        <v>1</v>
      </c>
      <c r="H424" s="13">
        <v>0</v>
      </c>
      <c r="I424" s="13">
        <v>0</v>
      </c>
      <c r="J424" s="13">
        <v>0</v>
      </c>
      <c r="K424" s="13">
        <f t="shared" si="18"/>
        <v>0</v>
      </c>
      <c r="L424" s="13">
        <v>0</v>
      </c>
      <c r="M424" s="13">
        <f t="shared" si="19"/>
        <v>0</v>
      </c>
      <c r="N424" s="13">
        <v>0</v>
      </c>
      <c r="O424" s="13">
        <f t="shared" si="20"/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V424" s="13">
        <v>425</v>
      </c>
      <c r="W424" s="14">
        <v>4.8476457006784646</v>
      </c>
      <c r="X424" s="8"/>
    </row>
    <row r="425" spans="1:24" x14ac:dyDescent="0.25">
      <c r="A425" s="23" t="s">
        <v>1367</v>
      </c>
      <c r="B425" s="15" t="s">
        <v>676</v>
      </c>
      <c r="C425" s="15" t="s">
        <v>25</v>
      </c>
      <c r="D425" s="5" t="s">
        <v>15</v>
      </c>
      <c r="E425" s="16">
        <v>0</v>
      </c>
      <c r="F425" s="16">
        <v>0</v>
      </c>
      <c r="G425" s="16">
        <v>0</v>
      </c>
      <c r="H425" s="16">
        <v>1</v>
      </c>
      <c r="I425" s="16">
        <v>0</v>
      </c>
      <c r="J425" s="16">
        <v>0</v>
      </c>
      <c r="K425" s="16">
        <f t="shared" si="18"/>
        <v>0</v>
      </c>
      <c r="L425" s="16">
        <v>0</v>
      </c>
      <c r="M425" s="16">
        <f t="shared" si="19"/>
        <v>0</v>
      </c>
      <c r="N425" s="16">
        <v>0</v>
      </c>
      <c r="O425" s="16">
        <f t="shared" si="20"/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V425" s="16">
        <v>426</v>
      </c>
      <c r="W425" s="17">
        <v>3.8938232603271681</v>
      </c>
      <c r="X425" s="8"/>
    </row>
    <row r="426" spans="1:24" x14ac:dyDescent="0.25">
      <c r="A426" s="23" t="s">
        <v>1368</v>
      </c>
      <c r="B426" s="18" t="s">
        <v>677</v>
      </c>
      <c r="C426" s="18" t="s">
        <v>7</v>
      </c>
      <c r="D426" s="5" t="s">
        <v>15</v>
      </c>
      <c r="E426" s="19">
        <v>0</v>
      </c>
      <c r="F426" s="19">
        <v>0</v>
      </c>
      <c r="G426" s="19">
        <v>0</v>
      </c>
      <c r="H426" s="19">
        <v>0</v>
      </c>
      <c r="I426" s="19">
        <v>1</v>
      </c>
      <c r="J426" s="19">
        <v>0</v>
      </c>
      <c r="K426" s="19">
        <f t="shared" si="18"/>
        <v>1</v>
      </c>
      <c r="L426" s="19">
        <v>0</v>
      </c>
      <c r="M426" s="19">
        <f t="shared" si="19"/>
        <v>1</v>
      </c>
      <c r="N426" s="19">
        <v>0</v>
      </c>
      <c r="O426" s="19">
        <f t="shared" si="20"/>
        <v>1</v>
      </c>
      <c r="P426" s="19">
        <v>0</v>
      </c>
      <c r="Q426" s="19">
        <v>1</v>
      </c>
      <c r="R426" s="19">
        <v>0</v>
      </c>
      <c r="S426" s="19">
        <v>0</v>
      </c>
      <c r="T426" s="19">
        <v>0</v>
      </c>
      <c r="U426" t="s">
        <v>678</v>
      </c>
      <c r="V426" s="19">
        <v>427</v>
      </c>
      <c r="W426" s="20">
        <v>1.2360193320799799</v>
      </c>
      <c r="X426" s="8"/>
    </row>
    <row r="427" spans="1:24" x14ac:dyDescent="0.25">
      <c r="A427" s="23" t="s">
        <v>1369</v>
      </c>
      <c r="B427" s="18" t="s">
        <v>679</v>
      </c>
      <c r="C427" s="18" t="s">
        <v>7</v>
      </c>
      <c r="D427" s="5" t="s">
        <v>15</v>
      </c>
      <c r="E427" s="19">
        <v>0</v>
      </c>
      <c r="F427" s="19">
        <v>0</v>
      </c>
      <c r="G427" s="19">
        <v>0</v>
      </c>
      <c r="H427" s="19">
        <v>0</v>
      </c>
      <c r="I427" s="19">
        <v>1</v>
      </c>
      <c r="J427" s="19">
        <v>0</v>
      </c>
      <c r="K427" s="19">
        <f t="shared" si="18"/>
        <v>1</v>
      </c>
      <c r="L427" s="19">
        <v>0</v>
      </c>
      <c r="M427" s="19">
        <f t="shared" si="19"/>
        <v>1</v>
      </c>
      <c r="N427" s="19">
        <v>0</v>
      </c>
      <c r="O427" s="19">
        <f t="shared" si="20"/>
        <v>1</v>
      </c>
      <c r="P427" s="19">
        <v>0</v>
      </c>
      <c r="Q427" s="19">
        <v>1</v>
      </c>
      <c r="R427" s="19">
        <v>0</v>
      </c>
      <c r="S427" s="19">
        <v>0</v>
      </c>
      <c r="T427" s="19">
        <v>0</v>
      </c>
      <c r="U427" t="s">
        <v>680</v>
      </c>
      <c r="V427" s="19">
        <v>428</v>
      </c>
      <c r="W427" s="20">
        <v>1.2217109128549</v>
      </c>
      <c r="X427" s="8"/>
    </row>
    <row r="428" spans="1:24" x14ac:dyDescent="0.25">
      <c r="A428" s="23" t="s">
        <v>1370</v>
      </c>
      <c r="B428" s="18" t="s">
        <v>681</v>
      </c>
      <c r="C428" s="18" t="s">
        <v>7</v>
      </c>
      <c r="D428" s="5" t="s">
        <v>15</v>
      </c>
      <c r="E428" s="19">
        <v>0</v>
      </c>
      <c r="F428" s="19">
        <v>0</v>
      </c>
      <c r="G428" s="19">
        <v>0</v>
      </c>
      <c r="H428" s="19">
        <v>0</v>
      </c>
      <c r="I428" s="19">
        <v>1</v>
      </c>
      <c r="J428" s="19">
        <v>0</v>
      </c>
      <c r="K428" s="19">
        <f t="shared" si="18"/>
        <v>1</v>
      </c>
      <c r="L428" s="19">
        <v>0</v>
      </c>
      <c r="M428" s="19">
        <f t="shared" si="19"/>
        <v>1</v>
      </c>
      <c r="N428" s="19">
        <v>0</v>
      </c>
      <c r="O428" s="19">
        <f t="shared" si="20"/>
        <v>1</v>
      </c>
      <c r="P428" s="19">
        <v>0</v>
      </c>
      <c r="Q428" s="19">
        <v>1</v>
      </c>
      <c r="R428" s="19">
        <v>0</v>
      </c>
      <c r="S428" s="19">
        <v>0</v>
      </c>
      <c r="T428" s="19">
        <v>0</v>
      </c>
      <c r="U428" t="s">
        <v>682</v>
      </c>
      <c r="V428" s="19">
        <v>429</v>
      </c>
      <c r="W428" s="20">
        <v>0.76493526671941303</v>
      </c>
      <c r="X428" s="8"/>
    </row>
    <row r="429" spans="1:24" x14ac:dyDescent="0.25">
      <c r="A429" s="23" t="s">
        <v>1371</v>
      </c>
      <c r="B429" s="18" t="s">
        <v>683</v>
      </c>
      <c r="C429" s="18" t="s">
        <v>7</v>
      </c>
      <c r="D429" s="5" t="s">
        <v>15</v>
      </c>
      <c r="E429" s="19">
        <v>0</v>
      </c>
      <c r="F429" s="19">
        <v>0</v>
      </c>
      <c r="G429" s="19">
        <v>0</v>
      </c>
      <c r="H429" s="19">
        <v>0</v>
      </c>
      <c r="I429" s="19">
        <v>1</v>
      </c>
      <c r="J429" s="19">
        <v>0</v>
      </c>
      <c r="K429" s="19">
        <f t="shared" si="18"/>
        <v>1</v>
      </c>
      <c r="L429" s="19">
        <v>0</v>
      </c>
      <c r="M429" s="19">
        <f t="shared" si="19"/>
        <v>1</v>
      </c>
      <c r="N429" s="19">
        <v>0</v>
      </c>
      <c r="O429" s="19">
        <f t="shared" si="20"/>
        <v>1</v>
      </c>
      <c r="P429" s="19">
        <v>0</v>
      </c>
      <c r="Q429" s="19">
        <v>1</v>
      </c>
      <c r="R429" s="19">
        <v>0</v>
      </c>
      <c r="S429" s="19">
        <v>0</v>
      </c>
      <c r="T429" s="19">
        <v>0</v>
      </c>
      <c r="U429" t="s">
        <v>684</v>
      </c>
      <c r="V429" s="19">
        <v>430</v>
      </c>
      <c r="W429" s="20">
        <v>0.45268428421438001</v>
      </c>
      <c r="X429" s="8"/>
    </row>
    <row r="430" spans="1:24" x14ac:dyDescent="0.25">
      <c r="A430" s="23" t="s">
        <v>1372</v>
      </c>
      <c r="B430" s="18" t="s">
        <v>685</v>
      </c>
      <c r="C430" s="18" t="s">
        <v>7</v>
      </c>
      <c r="D430" s="5" t="s">
        <v>15</v>
      </c>
      <c r="E430" s="19">
        <v>0</v>
      </c>
      <c r="F430" s="19">
        <v>0</v>
      </c>
      <c r="G430" s="19">
        <v>0</v>
      </c>
      <c r="H430" s="19">
        <v>0</v>
      </c>
      <c r="I430" s="19">
        <v>1</v>
      </c>
      <c r="J430" s="19">
        <v>0</v>
      </c>
      <c r="K430" s="19">
        <f t="shared" si="18"/>
        <v>1</v>
      </c>
      <c r="L430" s="19">
        <v>0</v>
      </c>
      <c r="M430" s="19">
        <f t="shared" si="19"/>
        <v>1</v>
      </c>
      <c r="N430" s="19">
        <v>0</v>
      </c>
      <c r="O430" s="19">
        <f t="shared" si="20"/>
        <v>1</v>
      </c>
      <c r="P430" s="19">
        <v>0</v>
      </c>
      <c r="Q430" s="19">
        <v>1</v>
      </c>
      <c r="R430" s="19">
        <v>0</v>
      </c>
      <c r="S430" s="19">
        <v>0</v>
      </c>
      <c r="T430" s="19">
        <v>0</v>
      </c>
      <c r="U430" t="s">
        <v>686</v>
      </c>
      <c r="V430" s="19">
        <v>431</v>
      </c>
      <c r="W430" s="20">
        <v>0.114338796561258</v>
      </c>
      <c r="X430" s="8"/>
    </row>
    <row r="431" spans="1:24" x14ac:dyDescent="0.25">
      <c r="A431" s="23" t="s">
        <v>1373</v>
      </c>
      <c r="B431" s="18" t="s">
        <v>687</v>
      </c>
      <c r="C431" s="18" t="s">
        <v>7</v>
      </c>
      <c r="D431" s="5" t="s">
        <v>15</v>
      </c>
      <c r="E431" s="19">
        <v>0</v>
      </c>
      <c r="F431" s="19">
        <v>0</v>
      </c>
      <c r="G431" s="19">
        <v>0</v>
      </c>
      <c r="H431" s="19">
        <v>0</v>
      </c>
      <c r="I431" s="19">
        <v>1</v>
      </c>
      <c r="J431" s="19">
        <v>1</v>
      </c>
      <c r="K431" s="19">
        <f t="shared" si="18"/>
        <v>0</v>
      </c>
      <c r="L431" s="19">
        <v>0</v>
      </c>
      <c r="M431" s="19">
        <f t="shared" si="19"/>
        <v>1</v>
      </c>
      <c r="N431" s="19">
        <v>0</v>
      </c>
      <c r="O431" s="19">
        <f t="shared" si="20"/>
        <v>1</v>
      </c>
      <c r="P431" s="19">
        <v>0</v>
      </c>
      <c r="Q431" s="19">
        <v>1</v>
      </c>
      <c r="R431" s="19">
        <v>0</v>
      </c>
      <c r="S431" s="19">
        <v>0</v>
      </c>
      <c r="T431" s="19">
        <v>1</v>
      </c>
      <c r="U431" t="s">
        <v>688</v>
      </c>
      <c r="V431" s="19">
        <v>432</v>
      </c>
      <c r="W431" s="20">
        <v>0.10413466789723699</v>
      </c>
      <c r="X431" s="8"/>
    </row>
    <row r="432" spans="1:24" x14ac:dyDescent="0.25">
      <c r="A432" s="23" t="s">
        <v>1374</v>
      </c>
      <c r="B432" s="15" t="s">
        <v>689</v>
      </c>
      <c r="C432" s="15" t="s">
        <v>25</v>
      </c>
      <c r="D432" s="5" t="s">
        <v>15</v>
      </c>
      <c r="E432" s="16">
        <v>0</v>
      </c>
      <c r="F432" s="16">
        <v>0</v>
      </c>
      <c r="G432" s="16">
        <v>0</v>
      </c>
      <c r="H432" s="16">
        <v>1</v>
      </c>
      <c r="I432" s="16">
        <v>0</v>
      </c>
      <c r="J432" s="16">
        <v>0</v>
      </c>
      <c r="K432" s="16">
        <f t="shared" si="18"/>
        <v>0</v>
      </c>
      <c r="L432" s="16">
        <v>0</v>
      </c>
      <c r="M432" s="16">
        <f t="shared" si="19"/>
        <v>0</v>
      </c>
      <c r="N432" s="16">
        <v>0</v>
      </c>
      <c r="O432" s="16">
        <f t="shared" si="20"/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V432" s="16">
        <v>433</v>
      </c>
      <c r="W432" s="17">
        <v>0.95382244035129637</v>
      </c>
      <c r="X432" s="8"/>
    </row>
    <row r="433" spans="1:24" x14ac:dyDescent="0.25">
      <c r="A433" s="23" t="s">
        <v>1375</v>
      </c>
      <c r="B433" s="18" t="s">
        <v>690</v>
      </c>
      <c r="C433" s="18" t="s">
        <v>7</v>
      </c>
      <c r="D433" s="5" t="s">
        <v>15</v>
      </c>
      <c r="E433" s="19">
        <v>0</v>
      </c>
      <c r="F433" s="19">
        <v>0</v>
      </c>
      <c r="G433" s="19">
        <v>0</v>
      </c>
      <c r="H433" s="19">
        <v>0</v>
      </c>
      <c r="I433" s="19">
        <v>1</v>
      </c>
      <c r="J433" s="19">
        <v>0</v>
      </c>
      <c r="K433" s="19">
        <f t="shared" si="18"/>
        <v>1</v>
      </c>
      <c r="L433" s="19">
        <v>0</v>
      </c>
      <c r="M433" s="19">
        <f t="shared" si="19"/>
        <v>1</v>
      </c>
      <c r="N433" s="19">
        <v>0</v>
      </c>
      <c r="O433" s="19">
        <f t="shared" si="20"/>
        <v>1</v>
      </c>
      <c r="P433" s="19">
        <v>0</v>
      </c>
      <c r="Q433" s="19">
        <v>1</v>
      </c>
      <c r="R433" s="19">
        <v>0</v>
      </c>
      <c r="S433" s="19">
        <v>0</v>
      </c>
      <c r="T433" s="19">
        <v>0</v>
      </c>
      <c r="U433" t="s">
        <v>691</v>
      </c>
      <c r="V433" s="19">
        <v>434</v>
      </c>
      <c r="W433" s="20">
        <v>0.79336087287194101</v>
      </c>
      <c r="X433" s="8"/>
    </row>
    <row r="434" spans="1:24" x14ac:dyDescent="0.25">
      <c r="A434" s="23" t="s">
        <v>1376</v>
      </c>
      <c r="B434" s="18" t="s">
        <v>692</v>
      </c>
      <c r="C434" s="18" t="s">
        <v>7</v>
      </c>
      <c r="D434" s="5" t="s">
        <v>15</v>
      </c>
      <c r="E434" s="19">
        <v>0</v>
      </c>
      <c r="F434" s="19">
        <v>0</v>
      </c>
      <c r="G434" s="19">
        <v>0</v>
      </c>
      <c r="H434" s="19">
        <v>0</v>
      </c>
      <c r="I434" s="19">
        <v>1</v>
      </c>
      <c r="J434" s="19">
        <v>0</v>
      </c>
      <c r="K434" s="19">
        <f t="shared" si="18"/>
        <v>1</v>
      </c>
      <c r="L434" s="19">
        <v>0</v>
      </c>
      <c r="M434" s="19">
        <f t="shared" si="19"/>
        <v>1</v>
      </c>
      <c r="N434" s="19">
        <v>0</v>
      </c>
      <c r="O434" s="19">
        <f t="shared" si="20"/>
        <v>1</v>
      </c>
      <c r="P434" s="19">
        <v>0</v>
      </c>
      <c r="Q434" s="19">
        <v>1</v>
      </c>
      <c r="R434" s="19">
        <v>0</v>
      </c>
      <c r="S434" s="19">
        <v>0</v>
      </c>
      <c r="T434" s="19">
        <v>0</v>
      </c>
      <c r="U434" t="s">
        <v>693</v>
      </c>
      <c r="V434" s="19">
        <v>435</v>
      </c>
      <c r="W434" s="20">
        <v>9.8806794056910396E-2</v>
      </c>
      <c r="X434" s="8"/>
    </row>
    <row r="435" spans="1:24" x14ac:dyDescent="0.25">
      <c r="A435" s="23" t="s">
        <v>1377</v>
      </c>
      <c r="B435" s="18" t="s">
        <v>694</v>
      </c>
      <c r="C435" s="18" t="s">
        <v>7</v>
      </c>
      <c r="D435" s="5" t="s">
        <v>15</v>
      </c>
      <c r="E435" s="19">
        <v>0</v>
      </c>
      <c r="F435" s="19">
        <v>0</v>
      </c>
      <c r="G435" s="19">
        <v>0</v>
      </c>
      <c r="H435" s="19">
        <v>0</v>
      </c>
      <c r="I435" s="19">
        <v>1</v>
      </c>
      <c r="J435" s="19">
        <v>0</v>
      </c>
      <c r="K435" s="19">
        <f t="shared" si="18"/>
        <v>1</v>
      </c>
      <c r="L435" s="19">
        <v>0</v>
      </c>
      <c r="M435" s="19">
        <f t="shared" si="19"/>
        <v>1</v>
      </c>
      <c r="N435" s="19">
        <v>0</v>
      </c>
      <c r="O435" s="19">
        <f t="shared" si="20"/>
        <v>1</v>
      </c>
      <c r="P435" s="19">
        <v>0</v>
      </c>
      <c r="Q435" s="19">
        <v>1</v>
      </c>
      <c r="R435" s="19">
        <v>0</v>
      </c>
      <c r="S435" s="19">
        <v>0</v>
      </c>
      <c r="T435" s="19">
        <v>1</v>
      </c>
      <c r="U435" t="s">
        <v>695</v>
      </c>
      <c r="V435" s="19">
        <v>436</v>
      </c>
      <c r="W435" s="20">
        <v>6.1654773422444999E-2</v>
      </c>
      <c r="X435" s="8"/>
    </row>
    <row r="436" spans="1:24" x14ac:dyDescent="0.25">
      <c r="A436" s="23" t="s">
        <v>1378</v>
      </c>
      <c r="B436" s="12" t="s">
        <v>696</v>
      </c>
      <c r="C436" s="12" t="s">
        <v>5</v>
      </c>
      <c r="D436" s="5" t="s">
        <v>15</v>
      </c>
      <c r="E436" s="13">
        <v>0</v>
      </c>
      <c r="F436" s="13">
        <v>0</v>
      </c>
      <c r="G436" s="13">
        <v>1</v>
      </c>
      <c r="H436" s="13">
        <v>0</v>
      </c>
      <c r="I436" s="13">
        <v>0</v>
      </c>
      <c r="J436" s="13">
        <v>0</v>
      </c>
      <c r="K436" s="13">
        <f t="shared" si="18"/>
        <v>0</v>
      </c>
      <c r="L436" s="13">
        <v>0</v>
      </c>
      <c r="M436" s="13">
        <f t="shared" si="19"/>
        <v>0</v>
      </c>
      <c r="N436" s="13">
        <v>0</v>
      </c>
      <c r="O436" s="13">
        <f t="shared" si="20"/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V436" s="13">
        <v>437</v>
      </c>
      <c r="W436" s="14">
        <v>0.277357406431258</v>
      </c>
      <c r="X436" s="8"/>
    </row>
    <row r="437" spans="1:24" x14ac:dyDescent="0.25">
      <c r="A437" s="23" t="s">
        <v>1379</v>
      </c>
      <c r="B437" s="15" t="s">
        <v>697</v>
      </c>
      <c r="C437" s="15" t="s">
        <v>25</v>
      </c>
      <c r="D437" s="5" t="s">
        <v>15</v>
      </c>
      <c r="E437" s="16">
        <v>0</v>
      </c>
      <c r="F437" s="16">
        <v>0</v>
      </c>
      <c r="G437" s="16">
        <v>0</v>
      </c>
      <c r="H437" s="16">
        <v>1</v>
      </c>
      <c r="I437" s="16">
        <v>0</v>
      </c>
      <c r="J437" s="16">
        <v>0</v>
      </c>
      <c r="K437" s="16">
        <f t="shared" si="18"/>
        <v>0</v>
      </c>
      <c r="L437" s="16">
        <v>0</v>
      </c>
      <c r="M437" s="16">
        <f t="shared" si="19"/>
        <v>0</v>
      </c>
      <c r="N437" s="16">
        <v>0</v>
      </c>
      <c r="O437" s="16">
        <f t="shared" si="20"/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V437" s="16">
        <v>438</v>
      </c>
      <c r="W437" s="17">
        <v>0.277357406431258</v>
      </c>
      <c r="X437" s="8"/>
    </row>
    <row r="438" spans="1:24" x14ac:dyDescent="0.25">
      <c r="A438" s="23" t="s">
        <v>1380</v>
      </c>
      <c r="B438" s="18" t="s">
        <v>698</v>
      </c>
      <c r="C438" s="18" t="s">
        <v>7</v>
      </c>
      <c r="D438" s="5" t="s">
        <v>15</v>
      </c>
      <c r="E438" s="19">
        <v>0</v>
      </c>
      <c r="F438" s="19">
        <v>0</v>
      </c>
      <c r="G438" s="19">
        <v>0</v>
      </c>
      <c r="H438" s="19">
        <v>0</v>
      </c>
      <c r="I438" s="19">
        <v>1</v>
      </c>
      <c r="J438" s="19">
        <v>0</v>
      </c>
      <c r="K438" s="19">
        <f t="shared" si="18"/>
        <v>1</v>
      </c>
      <c r="L438" s="19">
        <v>1</v>
      </c>
      <c r="M438" s="19">
        <f t="shared" si="19"/>
        <v>0</v>
      </c>
      <c r="N438" s="19">
        <v>0</v>
      </c>
      <c r="O438" s="19">
        <f t="shared" si="20"/>
        <v>1</v>
      </c>
      <c r="P438" s="19">
        <v>0</v>
      </c>
      <c r="Q438" s="19">
        <v>1</v>
      </c>
      <c r="R438" s="19">
        <v>0</v>
      </c>
      <c r="S438" s="19">
        <v>0</v>
      </c>
      <c r="T438" s="19">
        <v>0</v>
      </c>
      <c r="U438" t="s">
        <v>699</v>
      </c>
      <c r="V438" s="19">
        <v>439</v>
      </c>
      <c r="W438" s="20">
        <v>0.277357406431258</v>
      </c>
      <c r="X438" s="8"/>
    </row>
    <row r="439" spans="1:24" x14ac:dyDescent="0.25">
      <c r="A439" s="23" t="s">
        <v>1381</v>
      </c>
      <c r="B439" s="5" t="s">
        <v>700</v>
      </c>
      <c r="C439" s="5" t="s">
        <v>3</v>
      </c>
      <c r="D439" s="5" t="s">
        <v>700</v>
      </c>
      <c r="E439" s="6">
        <v>1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f t="shared" si="18"/>
        <v>0</v>
      </c>
      <c r="L439" s="6">
        <v>0</v>
      </c>
      <c r="M439" s="6">
        <f t="shared" si="19"/>
        <v>0</v>
      </c>
      <c r="N439" s="6">
        <v>0</v>
      </c>
      <c r="O439" s="6">
        <f t="shared" si="20"/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/>
      <c r="V439" s="6">
        <v>440</v>
      </c>
      <c r="W439" s="7">
        <v>5.0611789673654082</v>
      </c>
      <c r="X439" s="8"/>
    </row>
    <row r="440" spans="1:24" x14ac:dyDescent="0.25">
      <c r="A440" s="23" t="s">
        <v>1382</v>
      </c>
      <c r="B440" s="9" t="s">
        <v>701</v>
      </c>
      <c r="C440" s="9" t="s">
        <v>4</v>
      </c>
      <c r="D440" s="5" t="s">
        <v>700</v>
      </c>
      <c r="E440" s="10">
        <v>0</v>
      </c>
      <c r="F440" s="10">
        <v>1</v>
      </c>
      <c r="G440" s="10">
        <v>0</v>
      </c>
      <c r="H440" s="10">
        <v>0</v>
      </c>
      <c r="I440" s="10">
        <v>0</v>
      </c>
      <c r="J440" s="10">
        <v>0</v>
      </c>
      <c r="K440" s="10">
        <f t="shared" si="18"/>
        <v>0</v>
      </c>
      <c r="L440" s="10">
        <v>0</v>
      </c>
      <c r="M440" s="10">
        <f t="shared" si="19"/>
        <v>0</v>
      </c>
      <c r="N440" s="10">
        <v>0</v>
      </c>
      <c r="O440" s="10">
        <f t="shared" si="20"/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/>
      <c r="V440" s="10">
        <v>441</v>
      </c>
      <c r="W440" s="11">
        <v>0.22163230339010301</v>
      </c>
      <c r="X440" s="8"/>
    </row>
    <row r="441" spans="1:24" x14ac:dyDescent="0.25">
      <c r="A441" s="23" t="s">
        <v>1383</v>
      </c>
      <c r="B441" s="12" t="s">
        <v>701</v>
      </c>
      <c r="C441" s="12" t="s">
        <v>5</v>
      </c>
      <c r="D441" s="5" t="s">
        <v>700</v>
      </c>
      <c r="E441" s="13">
        <v>0</v>
      </c>
      <c r="F441" s="13">
        <v>0</v>
      </c>
      <c r="G441" s="13">
        <v>1</v>
      </c>
      <c r="H441" s="13">
        <v>0</v>
      </c>
      <c r="I441" s="13">
        <v>0</v>
      </c>
      <c r="J441" s="13">
        <v>0</v>
      </c>
      <c r="K441" s="13">
        <f t="shared" si="18"/>
        <v>0</v>
      </c>
      <c r="L441" s="13">
        <v>0</v>
      </c>
      <c r="M441" s="13">
        <f t="shared" si="19"/>
        <v>0</v>
      </c>
      <c r="N441" s="13">
        <v>0</v>
      </c>
      <c r="O441" s="13">
        <f t="shared" si="20"/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V441" s="13">
        <v>442</v>
      </c>
      <c r="W441" s="14">
        <v>0.22163230339010301</v>
      </c>
      <c r="X441" s="8"/>
    </row>
    <row r="442" spans="1:24" x14ac:dyDescent="0.25">
      <c r="A442" s="23" t="s">
        <v>1384</v>
      </c>
      <c r="B442" s="15" t="s">
        <v>701</v>
      </c>
      <c r="C442" s="15" t="s">
        <v>25</v>
      </c>
      <c r="D442" s="5" t="s">
        <v>700</v>
      </c>
      <c r="E442" s="16">
        <v>0</v>
      </c>
      <c r="F442" s="16">
        <v>0</v>
      </c>
      <c r="G442" s="16">
        <v>0</v>
      </c>
      <c r="H442" s="16">
        <v>1</v>
      </c>
      <c r="I442" s="16">
        <v>0</v>
      </c>
      <c r="J442" s="16">
        <v>0</v>
      </c>
      <c r="K442" s="16">
        <f t="shared" si="18"/>
        <v>0</v>
      </c>
      <c r="L442" s="16">
        <v>0</v>
      </c>
      <c r="M442" s="16">
        <f t="shared" si="19"/>
        <v>0</v>
      </c>
      <c r="N442" s="16">
        <v>0</v>
      </c>
      <c r="O442" s="16">
        <f t="shared" si="20"/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V442" s="16">
        <v>443</v>
      </c>
      <c r="W442" s="17">
        <v>0.22163230339010301</v>
      </c>
      <c r="X442" s="8"/>
    </row>
    <row r="443" spans="1:24" x14ac:dyDescent="0.25">
      <c r="A443" s="23" t="s">
        <v>1385</v>
      </c>
      <c r="B443" s="18" t="s">
        <v>702</v>
      </c>
      <c r="C443" s="18" t="s">
        <v>7</v>
      </c>
      <c r="D443" s="5" t="s">
        <v>700</v>
      </c>
      <c r="E443" s="19">
        <v>0</v>
      </c>
      <c r="F443" s="19">
        <v>0</v>
      </c>
      <c r="G443" s="19">
        <v>0</v>
      </c>
      <c r="H443" s="19">
        <v>0</v>
      </c>
      <c r="I443" s="19">
        <v>1</v>
      </c>
      <c r="J443" s="19">
        <v>1</v>
      </c>
      <c r="K443" s="19">
        <f t="shared" si="18"/>
        <v>0</v>
      </c>
      <c r="L443" s="19">
        <v>1</v>
      </c>
      <c r="M443" s="19">
        <f t="shared" si="19"/>
        <v>0</v>
      </c>
      <c r="N443" s="19">
        <v>1</v>
      </c>
      <c r="O443" s="19">
        <f t="shared" si="20"/>
        <v>0</v>
      </c>
      <c r="P443" s="19">
        <v>0</v>
      </c>
      <c r="Q443" s="19">
        <v>0</v>
      </c>
      <c r="R443" s="19">
        <v>0</v>
      </c>
      <c r="S443" s="19">
        <v>1</v>
      </c>
      <c r="T443" s="19">
        <v>1</v>
      </c>
      <c r="U443" t="s">
        <v>703</v>
      </c>
      <c r="V443" s="19">
        <v>444</v>
      </c>
      <c r="W443" s="20">
        <v>0.22163230339010301</v>
      </c>
      <c r="X443" s="8"/>
    </row>
    <row r="444" spans="1:24" x14ac:dyDescent="0.25">
      <c r="A444" s="23" t="s">
        <v>1386</v>
      </c>
      <c r="B444" s="9" t="s">
        <v>704</v>
      </c>
      <c r="C444" s="9" t="s">
        <v>4</v>
      </c>
      <c r="D444" s="5" t="s">
        <v>700</v>
      </c>
      <c r="E444" s="10">
        <v>0</v>
      </c>
      <c r="F444" s="10">
        <v>1</v>
      </c>
      <c r="G444" s="10">
        <v>0</v>
      </c>
      <c r="H444" s="10">
        <v>0</v>
      </c>
      <c r="I444" s="10">
        <v>0</v>
      </c>
      <c r="J444" s="10">
        <v>0</v>
      </c>
      <c r="K444" s="10">
        <f t="shared" si="18"/>
        <v>0</v>
      </c>
      <c r="L444" s="10">
        <v>0</v>
      </c>
      <c r="M444" s="10">
        <f t="shared" si="19"/>
        <v>0</v>
      </c>
      <c r="N444" s="10">
        <v>0</v>
      </c>
      <c r="O444" s="10">
        <f t="shared" si="20"/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V444" s="10">
        <v>445</v>
      </c>
      <c r="W444" s="11">
        <v>4.8395466639753053</v>
      </c>
      <c r="X444" s="8"/>
    </row>
    <row r="445" spans="1:24" x14ac:dyDescent="0.25">
      <c r="A445" s="23" t="s">
        <v>1387</v>
      </c>
      <c r="B445" s="12" t="s">
        <v>705</v>
      </c>
      <c r="C445" s="12" t="s">
        <v>5</v>
      </c>
      <c r="D445" s="5" t="s">
        <v>700</v>
      </c>
      <c r="E445" s="13">
        <v>0</v>
      </c>
      <c r="F445" s="13">
        <v>0</v>
      </c>
      <c r="G445" s="13">
        <v>1</v>
      </c>
      <c r="H445" s="13">
        <v>0</v>
      </c>
      <c r="I445" s="13">
        <v>0</v>
      </c>
      <c r="J445" s="13">
        <v>0</v>
      </c>
      <c r="K445" s="13">
        <f t="shared" si="18"/>
        <v>0</v>
      </c>
      <c r="L445" s="13">
        <v>0</v>
      </c>
      <c r="M445" s="13">
        <f t="shared" si="19"/>
        <v>0</v>
      </c>
      <c r="N445" s="13">
        <v>0</v>
      </c>
      <c r="O445" s="13">
        <f t="shared" si="20"/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V445" s="13">
        <v>446</v>
      </c>
      <c r="W445" s="14">
        <v>4.8395466639753053</v>
      </c>
      <c r="X445" s="8"/>
    </row>
    <row r="446" spans="1:24" x14ac:dyDescent="0.25">
      <c r="A446" s="23" t="s">
        <v>1388</v>
      </c>
      <c r="B446" s="15" t="s">
        <v>706</v>
      </c>
      <c r="C446" s="15" t="s">
        <v>25</v>
      </c>
      <c r="D446" s="5" t="s">
        <v>700</v>
      </c>
      <c r="E446" s="16">
        <v>0</v>
      </c>
      <c r="F446" s="16">
        <v>0</v>
      </c>
      <c r="G446" s="16">
        <v>0</v>
      </c>
      <c r="H446" s="16">
        <v>1</v>
      </c>
      <c r="I446" s="16">
        <v>0</v>
      </c>
      <c r="J446" s="16">
        <v>0</v>
      </c>
      <c r="K446" s="16">
        <f t="shared" si="18"/>
        <v>0</v>
      </c>
      <c r="L446" s="16">
        <v>0</v>
      </c>
      <c r="M446" s="16">
        <f t="shared" si="19"/>
        <v>0</v>
      </c>
      <c r="N446" s="16">
        <v>0</v>
      </c>
      <c r="O446" s="16">
        <f t="shared" si="20"/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V446" s="16">
        <v>447</v>
      </c>
      <c r="W446" s="17">
        <v>2.0311038953862353</v>
      </c>
      <c r="X446" s="8"/>
    </row>
    <row r="447" spans="1:24" x14ac:dyDescent="0.25">
      <c r="A447" s="23" t="s">
        <v>1389</v>
      </c>
      <c r="B447" s="18" t="s">
        <v>707</v>
      </c>
      <c r="C447" s="18" t="s">
        <v>7</v>
      </c>
      <c r="D447" s="5" t="s">
        <v>700</v>
      </c>
      <c r="E447" s="19">
        <v>0</v>
      </c>
      <c r="F447" s="19">
        <v>0</v>
      </c>
      <c r="G447" s="19">
        <v>0</v>
      </c>
      <c r="H447" s="19">
        <v>0</v>
      </c>
      <c r="I447" s="19">
        <v>1</v>
      </c>
      <c r="J447" s="19">
        <v>1</v>
      </c>
      <c r="K447" s="19">
        <f t="shared" si="18"/>
        <v>0</v>
      </c>
      <c r="L447" s="19">
        <v>0</v>
      </c>
      <c r="M447" s="19">
        <f t="shared" si="19"/>
        <v>1</v>
      </c>
      <c r="N447" s="19">
        <v>0</v>
      </c>
      <c r="O447" s="19">
        <f t="shared" si="20"/>
        <v>1</v>
      </c>
      <c r="P447" s="19">
        <v>0</v>
      </c>
      <c r="Q447" s="19">
        <v>0</v>
      </c>
      <c r="R447" s="19">
        <v>0</v>
      </c>
      <c r="S447" s="19">
        <v>1</v>
      </c>
      <c r="T447" s="19">
        <v>0</v>
      </c>
      <c r="U447" t="s">
        <v>708</v>
      </c>
      <c r="V447" s="19">
        <v>448</v>
      </c>
      <c r="W447" s="20">
        <v>0.16508712173107101</v>
      </c>
      <c r="X447" s="8"/>
    </row>
    <row r="448" spans="1:24" x14ac:dyDescent="0.25">
      <c r="A448" s="23" t="s">
        <v>1390</v>
      </c>
      <c r="B448" s="18" t="s">
        <v>709</v>
      </c>
      <c r="C448" s="18" t="s">
        <v>7</v>
      </c>
      <c r="D448" s="5" t="s">
        <v>700</v>
      </c>
      <c r="E448" s="19">
        <v>0</v>
      </c>
      <c r="F448" s="19">
        <v>0</v>
      </c>
      <c r="G448" s="19">
        <v>0</v>
      </c>
      <c r="H448" s="19">
        <v>0</v>
      </c>
      <c r="I448" s="19">
        <v>1</v>
      </c>
      <c r="J448" s="19">
        <v>1</v>
      </c>
      <c r="K448" s="19">
        <f t="shared" si="18"/>
        <v>0</v>
      </c>
      <c r="L448" s="19">
        <v>0</v>
      </c>
      <c r="M448" s="19">
        <f t="shared" si="19"/>
        <v>1</v>
      </c>
      <c r="N448" s="19">
        <v>0</v>
      </c>
      <c r="O448" s="19">
        <f t="shared" si="20"/>
        <v>1</v>
      </c>
      <c r="P448" s="19">
        <v>0</v>
      </c>
      <c r="Q448" s="19">
        <v>0</v>
      </c>
      <c r="R448" s="19">
        <v>0</v>
      </c>
      <c r="S448" s="19">
        <v>1</v>
      </c>
      <c r="T448" s="19">
        <v>0</v>
      </c>
      <c r="U448" t="s">
        <v>710</v>
      </c>
      <c r="V448" s="19">
        <v>449</v>
      </c>
      <c r="W448" s="20">
        <v>0.19519412754586399</v>
      </c>
      <c r="X448" s="8"/>
    </row>
    <row r="449" spans="1:24" x14ac:dyDescent="0.25">
      <c r="A449" s="23" t="s">
        <v>1391</v>
      </c>
      <c r="B449" s="18" t="s">
        <v>711</v>
      </c>
      <c r="C449" s="18" t="s">
        <v>7</v>
      </c>
      <c r="D449" s="5" t="s">
        <v>700</v>
      </c>
      <c r="E449" s="19">
        <v>0</v>
      </c>
      <c r="F449" s="19">
        <v>0</v>
      </c>
      <c r="G449" s="19">
        <v>0</v>
      </c>
      <c r="H449" s="19">
        <v>0</v>
      </c>
      <c r="I449" s="19">
        <v>1</v>
      </c>
      <c r="J449" s="19">
        <v>1</v>
      </c>
      <c r="K449" s="19">
        <f t="shared" ref="K449:K512" si="21">IF(I449=1,IF(J449=1,0,1),0)</f>
        <v>0</v>
      </c>
      <c r="L449" s="19">
        <v>0</v>
      </c>
      <c r="M449" s="19">
        <f t="shared" ref="M449:M512" si="22">IF(I449=1,IF(L449=1,0,1),0)</f>
        <v>1</v>
      </c>
      <c r="N449" s="19">
        <v>0</v>
      </c>
      <c r="O449" s="19">
        <f t="shared" ref="O449:O512" si="23">IF(I449=1,IF(N449=1,0,1),0)</f>
        <v>1</v>
      </c>
      <c r="P449" s="19">
        <v>0</v>
      </c>
      <c r="Q449" s="19">
        <v>0</v>
      </c>
      <c r="R449" s="19">
        <v>0</v>
      </c>
      <c r="S449" s="19">
        <v>1</v>
      </c>
      <c r="T449" s="19">
        <v>1</v>
      </c>
      <c r="U449" t="s">
        <v>712</v>
      </c>
      <c r="V449" s="19">
        <v>450</v>
      </c>
      <c r="W449" s="20">
        <v>1.6708226461093001</v>
      </c>
      <c r="X449" s="8"/>
    </row>
    <row r="450" spans="1:24" x14ac:dyDescent="0.25">
      <c r="A450" s="23" t="s">
        <v>1392</v>
      </c>
      <c r="B450" s="15" t="s">
        <v>713</v>
      </c>
      <c r="C450" s="15" t="s">
        <v>25</v>
      </c>
      <c r="D450" s="5" t="s">
        <v>700</v>
      </c>
      <c r="E450" s="16">
        <v>0</v>
      </c>
      <c r="F450" s="16">
        <v>0</v>
      </c>
      <c r="G450" s="16">
        <v>0</v>
      </c>
      <c r="H450" s="16">
        <v>1</v>
      </c>
      <c r="I450" s="16">
        <v>0</v>
      </c>
      <c r="J450" s="16">
        <v>0</v>
      </c>
      <c r="K450" s="16">
        <f t="shared" si="21"/>
        <v>0</v>
      </c>
      <c r="L450" s="16">
        <v>0</v>
      </c>
      <c r="M450" s="16">
        <f t="shared" si="22"/>
        <v>0</v>
      </c>
      <c r="N450" s="16">
        <v>0</v>
      </c>
      <c r="O450" s="16">
        <f t="shared" si="23"/>
        <v>0</v>
      </c>
      <c r="P450" s="16">
        <v>0</v>
      </c>
      <c r="Q450" s="16">
        <v>0</v>
      </c>
      <c r="R450" s="16">
        <v>0</v>
      </c>
      <c r="S450" s="16">
        <v>0</v>
      </c>
      <c r="T450" s="16">
        <v>0</v>
      </c>
      <c r="V450" s="16">
        <v>451</v>
      </c>
      <c r="W450" s="17">
        <v>2.80844276858907</v>
      </c>
      <c r="X450" s="8"/>
    </row>
    <row r="451" spans="1:24" x14ac:dyDescent="0.25">
      <c r="A451" s="23" t="s">
        <v>1393</v>
      </c>
      <c r="B451" s="18" t="s">
        <v>713</v>
      </c>
      <c r="C451" s="18" t="s">
        <v>7</v>
      </c>
      <c r="D451" s="5" t="s">
        <v>700</v>
      </c>
      <c r="E451" s="19">
        <v>0</v>
      </c>
      <c r="F451" s="19">
        <v>0</v>
      </c>
      <c r="G451" s="19">
        <v>0</v>
      </c>
      <c r="H451" s="19">
        <v>0</v>
      </c>
      <c r="I451" s="19">
        <v>1</v>
      </c>
      <c r="J451" s="19">
        <v>1</v>
      </c>
      <c r="K451" s="19">
        <f t="shared" si="21"/>
        <v>0</v>
      </c>
      <c r="L451" s="19">
        <v>0</v>
      </c>
      <c r="M451" s="19">
        <f t="shared" si="22"/>
        <v>1</v>
      </c>
      <c r="N451" s="19">
        <v>0</v>
      </c>
      <c r="O451" s="19">
        <f t="shared" si="23"/>
        <v>1</v>
      </c>
      <c r="P451" s="19">
        <v>0</v>
      </c>
      <c r="Q451" s="19">
        <v>0</v>
      </c>
      <c r="R451" s="19">
        <v>0</v>
      </c>
      <c r="S451" s="19">
        <v>1</v>
      </c>
      <c r="T451" s="19">
        <v>0</v>
      </c>
      <c r="U451" t="s">
        <v>714</v>
      </c>
      <c r="V451" s="19">
        <v>452</v>
      </c>
      <c r="W451" s="20">
        <v>2.80844276858907</v>
      </c>
      <c r="X451" s="8"/>
    </row>
    <row r="452" spans="1:24" x14ac:dyDescent="0.25">
      <c r="A452" s="23" t="s">
        <v>1394</v>
      </c>
      <c r="B452" s="5" t="s">
        <v>715</v>
      </c>
      <c r="C452" s="5" t="s">
        <v>3</v>
      </c>
      <c r="D452" s="5" t="s">
        <v>715</v>
      </c>
      <c r="E452" s="6">
        <v>1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f t="shared" si="21"/>
        <v>0</v>
      </c>
      <c r="L452" s="6">
        <v>0</v>
      </c>
      <c r="M452" s="6">
        <f t="shared" si="22"/>
        <v>0</v>
      </c>
      <c r="N452" s="6">
        <v>0</v>
      </c>
      <c r="O452" s="6">
        <f t="shared" si="23"/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/>
      <c r="V452" s="6">
        <v>453</v>
      </c>
      <c r="W452" s="7">
        <v>3.0303015966303848</v>
      </c>
      <c r="X452" s="8"/>
    </row>
    <row r="453" spans="1:24" x14ac:dyDescent="0.25">
      <c r="A453" s="23" t="s">
        <v>1395</v>
      </c>
      <c r="B453" s="9" t="s">
        <v>716</v>
      </c>
      <c r="C453" s="9" t="s">
        <v>4</v>
      </c>
      <c r="D453" s="5" t="s">
        <v>715</v>
      </c>
      <c r="E453" s="10">
        <v>0</v>
      </c>
      <c r="F453" s="10">
        <v>1</v>
      </c>
      <c r="G453" s="10">
        <v>0</v>
      </c>
      <c r="H453" s="10">
        <v>0</v>
      </c>
      <c r="I453" s="10">
        <v>0</v>
      </c>
      <c r="J453" s="10">
        <v>0</v>
      </c>
      <c r="K453" s="10">
        <f t="shared" si="21"/>
        <v>0</v>
      </c>
      <c r="L453" s="10">
        <v>0</v>
      </c>
      <c r="M453" s="10">
        <f t="shared" si="22"/>
        <v>0</v>
      </c>
      <c r="N453" s="10">
        <v>0</v>
      </c>
      <c r="O453" s="10">
        <f t="shared" si="23"/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V453" s="10">
        <v>454</v>
      </c>
      <c r="W453" s="11">
        <v>0.32087599411477652</v>
      </c>
      <c r="X453" s="8"/>
    </row>
    <row r="454" spans="1:24" ht="17.25" customHeight="1" x14ac:dyDescent="0.25">
      <c r="A454" s="23" t="s">
        <v>1396</v>
      </c>
      <c r="B454" s="12" t="s">
        <v>717</v>
      </c>
      <c r="C454" s="12" t="s">
        <v>5</v>
      </c>
      <c r="D454" s="5" t="s">
        <v>715</v>
      </c>
      <c r="E454" s="13">
        <v>0</v>
      </c>
      <c r="F454" s="13">
        <v>0</v>
      </c>
      <c r="G454" s="13">
        <v>1</v>
      </c>
      <c r="H454" s="13">
        <v>0</v>
      </c>
      <c r="I454" s="13">
        <v>0</v>
      </c>
      <c r="J454" s="13">
        <v>0</v>
      </c>
      <c r="K454" s="13">
        <f t="shared" si="21"/>
        <v>0</v>
      </c>
      <c r="L454" s="13">
        <v>0</v>
      </c>
      <c r="M454" s="13">
        <f t="shared" si="22"/>
        <v>0</v>
      </c>
      <c r="N454" s="13">
        <v>0</v>
      </c>
      <c r="O454" s="13">
        <f t="shared" si="23"/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V454" s="13">
        <v>455</v>
      </c>
      <c r="W454" s="14">
        <v>0.23513193162694071</v>
      </c>
      <c r="X454" s="8"/>
    </row>
    <row r="455" spans="1:24" x14ac:dyDescent="0.25">
      <c r="A455" s="23" t="s">
        <v>1397</v>
      </c>
      <c r="B455" s="15" t="s">
        <v>718</v>
      </c>
      <c r="C455" s="15" t="s">
        <v>25</v>
      </c>
      <c r="D455" s="5" t="s">
        <v>715</v>
      </c>
      <c r="E455" s="16">
        <v>0</v>
      </c>
      <c r="F455" s="16">
        <v>0</v>
      </c>
      <c r="G455" s="16">
        <v>0</v>
      </c>
      <c r="H455" s="16">
        <v>1</v>
      </c>
      <c r="I455" s="16">
        <v>0</v>
      </c>
      <c r="J455" s="16">
        <v>0</v>
      </c>
      <c r="K455" s="16">
        <f t="shared" si="21"/>
        <v>0</v>
      </c>
      <c r="L455" s="16">
        <v>0</v>
      </c>
      <c r="M455" s="16">
        <f t="shared" si="22"/>
        <v>0</v>
      </c>
      <c r="N455" s="16">
        <v>0</v>
      </c>
      <c r="O455" s="16">
        <f t="shared" si="23"/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/>
      <c r="V455" s="16">
        <v>456</v>
      </c>
      <c r="W455" s="17">
        <v>0.23513193162694071</v>
      </c>
      <c r="X455" s="8"/>
    </row>
    <row r="456" spans="1:24" x14ac:dyDescent="0.25">
      <c r="A456" s="23" t="s">
        <v>1398</v>
      </c>
      <c r="B456" s="18" t="s">
        <v>719</v>
      </c>
      <c r="C456" s="18" t="s">
        <v>7</v>
      </c>
      <c r="D456" s="5" t="s">
        <v>715</v>
      </c>
      <c r="E456" s="19">
        <v>0</v>
      </c>
      <c r="F456" s="19">
        <v>0</v>
      </c>
      <c r="G456" s="19">
        <v>0</v>
      </c>
      <c r="H456" s="19">
        <v>0</v>
      </c>
      <c r="I456" s="19">
        <v>1</v>
      </c>
      <c r="J456" s="19">
        <v>1</v>
      </c>
      <c r="K456" s="19">
        <f t="shared" si="21"/>
        <v>0</v>
      </c>
      <c r="L456" s="19">
        <v>1</v>
      </c>
      <c r="M456" s="19">
        <f t="shared" si="22"/>
        <v>0</v>
      </c>
      <c r="N456" s="19">
        <v>1</v>
      </c>
      <c r="O456" s="19">
        <f t="shared" si="23"/>
        <v>0</v>
      </c>
      <c r="P456" s="19">
        <v>0</v>
      </c>
      <c r="Q456" s="19">
        <v>0</v>
      </c>
      <c r="R456" s="19">
        <v>0</v>
      </c>
      <c r="S456" s="19">
        <v>1</v>
      </c>
      <c r="T456" s="19">
        <v>0</v>
      </c>
      <c r="U456" t="s">
        <v>720</v>
      </c>
      <c r="V456" s="19">
        <v>457</v>
      </c>
      <c r="W456" s="20">
        <v>0.20968249344243201</v>
      </c>
      <c r="X456" s="8"/>
    </row>
    <row r="457" spans="1:24" x14ac:dyDescent="0.25">
      <c r="A457" s="23" t="s">
        <v>1399</v>
      </c>
      <c r="B457" s="18" t="s">
        <v>721</v>
      </c>
      <c r="C457" s="18" t="s">
        <v>7</v>
      </c>
      <c r="D457" s="5" t="s">
        <v>715</v>
      </c>
      <c r="E457" s="19">
        <v>0</v>
      </c>
      <c r="F457" s="19">
        <v>0</v>
      </c>
      <c r="G457" s="19">
        <v>0</v>
      </c>
      <c r="H457" s="19">
        <v>0</v>
      </c>
      <c r="I457" s="19">
        <v>1</v>
      </c>
      <c r="J457" s="19">
        <v>1</v>
      </c>
      <c r="K457" s="19">
        <f t="shared" si="21"/>
        <v>0</v>
      </c>
      <c r="L457" s="19">
        <v>1</v>
      </c>
      <c r="M457" s="19">
        <f t="shared" si="22"/>
        <v>0</v>
      </c>
      <c r="N457" s="19">
        <v>1</v>
      </c>
      <c r="O457" s="19">
        <f t="shared" si="23"/>
        <v>0</v>
      </c>
      <c r="P457" s="19">
        <v>0</v>
      </c>
      <c r="Q457" s="19">
        <v>0</v>
      </c>
      <c r="R457" s="19">
        <v>0</v>
      </c>
      <c r="S457" s="19">
        <v>1</v>
      </c>
      <c r="T457" s="19">
        <v>1</v>
      </c>
      <c r="U457" t="s">
        <v>722</v>
      </c>
      <c r="V457" s="19">
        <v>458</v>
      </c>
      <c r="W457" s="20">
        <v>2.5449438184508701E-2</v>
      </c>
      <c r="X457" s="8"/>
    </row>
    <row r="458" spans="1:24" x14ac:dyDescent="0.25">
      <c r="A458" s="23" t="s">
        <v>1400</v>
      </c>
      <c r="B458" s="12" t="s">
        <v>723</v>
      </c>
      <c r="C458" s="12" t="s">
        <v>5</v>
      </c>
      <c r="D458" s="5" t="s">
        <v>715</v>
      </c>
      <c r="E458" s="13">
        <v>0</v>
      </c>
      <c r="F458" s="13">
        <v>0</v>
      </c>
      <c r="G458" s="13">
        <v>1</v>
      </c>
      <c r="H458" s="13">
        <v>0</v>
      </c>
      <c r="I458" s="13">
        <v>0</v>
      </c>
      <c r="J458" s="13">
        <v>0</v>
      </c>
      <c r="K458" s="13">
        <f t="shared" si="21"/>
        <v>0</v>
      </c>
      <c r="L458" s="13">
        <v>0</v>
      </c>
      <c r="M458" s="13">
        <f t="shared" si="22"/>
        <v>0</v>
      </c>
      <c r="N458" s="13">
        <v>0</v>
      </c>
      <c r="O458" s="13">
        <f t="shared" si="23"/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V458" s="13">
        <v>459</v>
      </c>
      <c r="W458" s="14">
        <v>8.5744062487835795E-2</v>
      </c>
      <c r="X458" s="8"/>
    </row>
    <row r="459" spans="1:24" x14ac:dyDescent="0.25">
      <c r="A459" s="23" t="s">
        <v>1401</v>
      </c>
      <c r="B459" s="15" t="s">
        <v>723</v>
      </c>
      <c r="C459" s="15" t="s">
        <v>25</v>
      </c>
      <c r="D459" s="5" t="s">
        <v>715</v>
      </c>
      <c r="E459" s="16">
        <v>0</v>
      </c>
      <c r="F459" s="16">
        <v>0</v>
      </c>
      <c r="G459" s="16">
        <v>0</v>
      </c>
      <c r="H459" s="16">
        <v>1</v>
      </c>
      <c r="I459" s="16">
        <v>0</v>
      </c>
      <c r="J459" s="16">
        <v>0</v>
      </c>
      <c r="K459" s="16">
        <f t="shared" si="21"/>
        <v>0</v>
      </c>
      <c r="L459" s="16">
        <v>0</v>
      </c>
      <c r="M459" s="16">
        <f t="shared" si="22"/>
        <v>0</v>
      </c>
      <c r="N459" s="16">
        <v>0</v>
      </c>
      <c r="O459" s="16">
        <f t="shared" si="23"/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V459" s="16">
        <v>460</v>
      </c>
      <c r="W459" s="17">
        <v>8.5744062487835795E-2</v>
      </c>
      <c r="X459" s="8"/>
    </row>
    <row r="460" spans="1:24" x14ac:dyDescent="0.25">
      <c r="A460" s="23" t="s">
        <v>1402</v>
      </c>
      <c r="B460" s="18" t="s">
        <v>724</v>
      </c>
      <c r="C460" s="18" t="s">
        <v>7</v>
      </c>
      <c r="D460" s="5" t="s">
        <v>715</v>
      </c>
      <c r="E460" s="19">
        <v>0</v>
      </c>
      <c r="F460" s="19">
        <v>0</v>
      </c>
      <c r="G460" s="19">
        <v>0</v>
      </c>
      <c r="H460" s="19">
        <v>0</v>
      </c>
      <c r="I460" s="19">
        <v>1</v>
      </c>
      <c r="J460" s="19">
        <v>1</v>
      </c>
      <c r="K460" s="19">
        <f t="shared" si="21"/>
        <v>0</v>
      </c>
      <c r="L460" s="19">
        <v>1</v>
      </c>
      <c r="M460" s="19">
        <f t="shared" si="22"/>
        <v>0</v>
      </c>
      <c r="N460" s="19">
        <v>1</v>
      </c>
      <c r="O460" s="19">
        <f t="shared" si="23"/>
        <v>0</v>
      </c>
      <c r="P460" s="19">
        <v>0</v>
      </c>
      <c r="Q460" s="19">
        <v>0</v>
      </c>
      <c r="R460" s="19">
        <v>0</v>
      </c>
      <c r="S460" s="19">
        <v>1</v>
      </c>
      <c r="T460" s="19">
        <v>0</v>
      </c>
      <c r="U460" t="s">
        <v>725</v>
      </c>
      <c r="V460" s="19">
        <v>461</v>
      </c>
      <c r="W460" s="20">
        <v>8.5744062487835795E-2</v>
      </c>
      <c r="X460" s="8"/>
    </row>
    <row r="461" spans="1:24" x14ac:dyDescent="0.25">
      <c r="A461" s="23" t="s">
        <v>1403</v>
      </c>
      <c r="B461" s="9" t="s">
        <v>726</v>
      </c>
      <c r="C461" s="9" t="s">
        <v>4</v>
      </c>
      <c r="D461" s="5" t="s">
        <v>715</v>
      </c>
      <c r="E461" s="10">
        <v>0</v>
      </c>
      <c r="F461" s="10">
        <v>1</v>
      </c>
      <c r="G461" s="10">
        <v>0</v>
      </c>
      <c r="H461" s="10">
        <v>0</v>
      </c>
      <c r="I461" s="10">
        <v>0</v>
      </c>
      <c r="J461" s="10">
        <v>0</v>
      </c>
      <c r="K461" s="10">
        <f t="shared" si="21"/>
        <v>0</v>
      </c>
      <c r="L461" s="10">
        <v>0</v>
      </c>
      <c r="M461" s="10">
        <f t="shared" si="22"/>
        <v>0</v>
      </c>
      <c r="N461" s="10">
        <v>0</v>
      </c>
      <c r="O461" s="10">
        <f t="shared" si="23"/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/>
      <c r="V461" s="10">
        <v>462</v>
      </c>
      <c r="W461" s="11">
        <v>0.23442220372354319</v>
      </c>
      <c r="X461" s="8"/>
    </row>
    <row r="462" spans="1:24" x14ac:dyDescent="0.25">
      <c r="A462" s="23" t="s">
        <v>1404</v>
      </c>
      <c r="B462" s="12" t="s">
        <v>727</v>
      </c>
      <c r="C462" s="12" t="s">
        <v>5</v>
      </c>
      <c r="D462" s="5" t="s">
        <v>715</v>
      </c>
      <c r="E462" s="13">
        <v>0</v>
      </c>
      <c r="F462" s="13">
        <v>0</v>
      </c>
      <c r="G462" s="13">
        <v>1</v>
      </c>
      <c r="H462" s="13">
        <v>0</v>
      </c>
      <c r="I462" s="13">
        <v>0</v>
      </c>
      <c r="J462" s="13">
        <v>0</v>
      </c>
      <c r="K462" s="13">
        <f t="shared" si="21"/>
        <v>0</v>
      </c>
      <c r="L462" s="13">
        <v>0</v>
      </c>
      <c r="M462" s="13">
        <f t="shared" si="22"/>
        <v>0</v>
      </c>
      <c r="N462" s="13">
        <v>0</v>
      </c>
      <c r="O462" s="13">
        <f t="shared" si="23"/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V462" s="13">
        <v>463</v>
      </c>
      <c r="W462" s="14">
        <v>8.3218986968558895E-2</v>
      </c>
      <c r="X462" s="8"/>
    </row>
    <row r="463" spans="1:24" x14ac:dyDescent="0.25">
      <c r="A463" s="23" t="s">
        <v>1405</v>
      </c>
      <c r="B463" s="15" t="s">
        <v>727</v>
      </c>
      <c r="C463" s="15" t="s">
        <v>25</v>
      </c>
      <c r="D463" s="5" t="s">
        <v>715</v>
      </c>
      <c r="E463" s="16">
        <v>0</v>
      </c>
      <c r="F463" s="16">
        <v>0</v>
      </c>
      <c r="G463" s="16">
        <v>0</v>
      </c>
      <c r="H463" s="16">
        <v>1</v>
      </c>
      <c r="I463" s="16">
        <v>0</v>
      </c>
      <c r="J463" s="16">
        <v>0</v>
      </c>
      <c r="K463" s="16">
        <f t="shared" si="21"/>
        <v>0</v>
      </c>
      <c r="L463" s="16">
        <v>0</v>
      </c>
      <c r="M463" s="16">
        <f t="shared" si="22"/>
        <v>0</v>
      </c>
      <c r="N463" s="16">
        <v>0</v>
      </c>
      <c r="O463" s="16">
        <f t="shared" si="23"/>
        <v>0</v>
      </c>
      <c r="P463" s="16">
        <v>0</v>
      </c>
      <c r="Q463" s="16">
        <v>0</v>
      </c>
      <c r="R463" s="16">
        <v>0</v>
      </c>
      <c r="S463" s="16">
        <v>0</v>
      </c>
      <c r="T463" s="16">
        <v>0</v>
      </c>
      <c r="V463" s="16">
        <v>464</v>
      </c>
      <c r="W463" s="17">
        <v>8.3218986968558895E-2</v>
      </c>
      <c r="X463" s="8"/>
    </row>
    <row r="464" spans="1:24" x14ac:dyDescent="0.25">
      <c r="A464" s="23" t="s">
        <v>1406</v>
      </c>
      <c r="B464" s="18" t="s">
        <v>728</v>
      </c>
      <c r="C464" s="18" t="s">
        <v>7</v>
      </c>
      <c r="D464" s="5" t="s">
        <v>715</v>
      </c>
      <c r="E464" s="19">
        <v>0</v>
      </c>
      <c r="F464" s="19">
        <v>0</v>
      </c>
      <c r="G464" s="19">
        <v>0</v>
      </c>
      <c r="H464" s="19">
        <v>0</v>
      </c>
      <c r="I464" s="19">
        <v>1</v>
      </c>
      <c r="J464" s="19">
        <v>1</v>
      </c>
      <c r="K464" s="19">
        <f t="shared" si="21"/>
        <v>0</v>
      </c>
      <c r="L464" s="19">
        <v>1</v>
      </c>
      <c r="M464" s="19">
        <f t="shared" si="22"/>
        <v>0</v>
      </c>
      <c r="N464" s="19">
        <v>1</v>
      </c>
      <c r="O464" s="19">
        <f t="shared" si="23"/>
        <v>0</v>
      </c>
      <c r="P464" s="19">
        <v>0</v>
      </c>
      <c r="Q464" s="19">
        <v>0</v>
      </c>
      <c r="R464" s="19">
        <v>0</v>
      </c>
      <c r="S464" s="19">
        <v>1</v>
      </c>
      <c r="T464" s="19">
        <v>0</v>
      </c>
      <c r="U464" t="s">
        <v>729</v>
      </c>
      <c r="V464" s="19">
        <v>465</v>
      </c>
      <c r="W464" s="20">
        <v>8.3218986968558895E-2</v>
      </c>
      <c r="X464" s="8"/>
    </row>
    <row r="465" spans="1:24" x14ac:dyDescent="0.25">
      <c r="A465" s="23" t="s">
        <v>1407</v>
      </c>
      <c r="B465" s="12" t="s">
        <v>730</v>
      </c>
      <c r="C465" s="12" t="s">
        <v>5</v>
      </c>
      <c r="D465" s="5" t="s">
        <v>715</v>
      </c>
      <c r="E465" s="13">
        <v>0</v>
      </c>
      <c r="F465" s="13">
        <v>0</v>
      </c>
      <c r="G465" s="13">
        <v>1</v>
      </c>
      <c r="H465" s="13">
        <v>0</v>
      </c>
      <c r="I465" s="13">
        <v>0</v>
      </c>
      <c r="J465" s="13">
        <v>0</v>
      </c>
      <c r="K465" s="13">
        <f t="shared" si="21"/>
        <v>0</v>
      </c>
      <c r="L465" s="13">
        <v>0</v>
      </c>
      <c r="M465" s="13">
        <f t="shared" si="22"/>
        <v>0</v>
      </c>
      <c r="N465" s="13">
        <v>0</v>
      </c>
      <c r="O465" s="13">
        <f t="shared" si="23"/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/>
      <c r="V465" s="13">
        <v>466</v>
      </c>
      <c r="W465" s="14">
        <v>1.7544492574670299E-2</v>
      </c>
      <c r="X465" s="8"/>
    </row>
    <row r="466" spans="1:24" x14ac:dyDescent="0.25">
      <c r="A466" s="23" t="s">
        <v>1408</v>
      </c>
      <c r="B466" s="15" t="s">
        <v>731</v>
      </c>
      <c r="C466" s="15" t="s">
        <v>25</v>
      </c>
      <c r="D466" s="5" t="s">
        <v>715</v>
      </c>
      <c r="E466" s="16">
        <v>0</v>
      </c>
      <c r="F466" s="16">
        <v>0</v>
      </c>
      <c r="G466" s="16">
        <v>0</v>
      </c>
      <c r="H466" s="16">
        <v>1</v>
      </c>
      <c r="I466" s="16">
        <v>0</v>
      </c>
      <c r="J466" s="16">
        <v>0</v>
      </c>
      <c r="K466" s="16">
        <f t="shared" si="21"/>
        <v>0</v>
      </c>
      <c r="L466" s="16">
        <v>0</v>
      </c>
      <c r="M466" s="16">
        <f t="shared" si="22"/>
        <v>0</v>
      </c>
      <c r="N466" s="16">
        <v>0</v>
      </c>
      <c r="O466" s="16">
        <f t="shared" si="23"/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V466" s="16">
        <v>467</v>
      </c>
      <c r="W466" s="17">
        <v>1.7544492574670299E-2</v>
      </c>
      <c r="X466" s="8"/>
    </row>
    <row r="467" spans="1:24" x14ac:dyDescent="0.25">
      <c r="A467" s="23" t="s">
        <v>1409</v>
      </c>
      <c r="B467" s="18" t="s">
        <v>732</v>
      </c>
      <c r="C467" s="18" t="s">
        <v>7</v>
      </c>
      <c r="D467" s="5" t="s">
        <v>715</v>
      </c>
      <c r="E467" s="19">
        <v>0</v>
      </c>
      <c r="F467" s="19">
        <v>0</v>
      </c>
      <c r="G467" s="19">
        <v>0</v>
      </c>
      <c r="H467" s="19">
        <v>0</v>
      </c>
      <c r="I467" s="19">
        <v>1</v>
      </c>
      <c r="J467" s="19">
        <v>1</v>
      </c>
      <c r="K467" s="19">
        <f t="shared" si="21"/>
        <v>0</v>
      </c>
      <c r="L467" s="19">
        <v>1</v>
      </c>
      <c r="M467" s="19">
        <f t="shared" si="22"/>
        <v>0</v>
      </c>
      <c r="N467" s="19">
        <v>1</v>
      </c>
      <c r="O467" s="19">
        <f t="shared" si="23"/>
        <v>0</v>
      </c>
      <c r="P467" s="19">
        <v>0</v>
      </c>
      <c r="Q467" s="19">
        <v>0</v>
      </c>
      <c r="R467" s="19">
        <v>0</v>
      </c>
      <c r="S467" s="19">
        <v>1</v>
      </c>
      <c r="T467" s="19">
        <v>1</v>
      </c>
      <c r="U467" t="s">
        <v>733</v>
      </c>
      <c r="V467" s="19">
        <v>468</v>
      </c>
      <c r="W467" s="20">
        <v>1.7544492574670299E-2</v>
      </c>
      <c r="X467" s="8"/>
    </row>
    <row r="468" spans="1:24" x14ac:dyDescent="0.25">
      <c r="A468" s="23" t="s">
        <v>1410</v>
      </c>
      <c r="B468" s="12" t="s">
        <v>734</v>
      </c>
      <c r="C468" s="12" t="s">
        <v>5</v>
      </c>
      <c r="D468" s="5" t="s">
        <v>715</v>
      </c>
      <c r="E468" s="13">
        <v>0</v>
      </c>
      <c r="F468" s="13">
        <v>0</v>
      </c>
      <c r="G468" s="13">
        <v>1</v>
      </c>
      <c r="H468" s="13">
        <v>0</v>
      </c>
      <c r="I468" s="13">
        <v>0</v>
      </c>
      <c r="J468" s="13">
        <v>0</v>
      </c>
      <c r="K468" s="13">
        <f t="shared" si="21"/>
        <v>0</v>
      </c>
      <c r="L468" s="13">
        <v>0</v>
      </c>
      <c r="M468" s="13">
        <f t="shared" si="22"/>
        <v>0</v>
      </c>
      <c r="N468" s="13">
        <v>0</v>
      </c>
      <c r="O468" s="13">
        <f t="shared" si="23"/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V468" s="13">
        <v>469</v>
      </c>
      <c r="W468" s="14">
        <v>8.0524990385333201E-2</v>
      </c>
      <c r="X468" s="8"/>
    </row>
    <row r="469" spans="1:24" x14ac:dyDescent="0.25">
      <c r="A469" s="23" t="s">
        <v>1411</v>
      </c>
      <c r="B469" s="15" t="s">
        <v>735</v>
      </c>
      <c r="C469" s="15" t="s">
        <v>25</v>
      </c>
      <c r="D469" s="5" t="s">
        <v>715</v>
      </c>
      <c r="E469" s="16">
        <v>0</v>
      </c>
      <c r="F469" s="16">
        <v>0</v>
      </c>
      <c r="G469" s="16">
        <v>0</v>
      </c>
      <c r="H469" s="16">
        <v>1</v>
      </c>
      <c r="I469" s="16">
        <v>0</v>
      </c>
      <c r="J469" s="16">
        <v>0</v>
      </c>
      <c r="K469" s="16">
        <f t="shared" si="21"/>
        <v>0</v>
      </c>
      <c r="L469" s="16">
        <v>0</v>
      </c>
      <c r="M469" s="16">
        <f t="shared" si="22"/>
        <v>0</v>
      </c>
      <c r="N469" s="16">
        <v>0</v>
      </c>
      <c r="O469" s="16">
        <f t="shared" si="23"/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/>
      <c r="V469" s="16">
        <v>470</v>
      </c>
      <c r="W469" s="17">
        <v>8.0524990385333201E-2</v>
      </c>
      <c r="X469" s="8"/>
    </row>
    <row r="470" spans="1:24" x14ac:dyDescent="0.25">
      <c r="A470" s="23" t="s">
        <v>1412</v>
      </c>
      <c r="B470" s="18" t="s">
        <v>736</v>
      </c>
      <c r="C470" s="18" t="s">
        <v>7</v>
      </c>
      <c r="D470" s="5" t="s">
        <v>715</v>
      </c>
      <c r="E470" s="19">
        <v>0</v>
      </c>
      <c r="F470" s="19">
        <v>0</v>
      </c>
      <c r="G470" s="19">
        <v>0</v>
      </c>
      <c r="H470" s="19">
        <v>0</v>
      </c>
      <c r="I470" s="19">
        <v>1</v>
      </c>
      <c r="J470" s="19">
        <v>1</v>
      </c>
      <c r="K470" s="19">
        <f t="shared" si="21"/>
        <v>0</v>
      </c>
      <c r="L470" s="19">
        <v>1</v>
      </c>
      <c r="M470" s="19">
        <f t="shared" si="22"/>
        <v>0</v>
      </c>
      <c r="N470" s="19">
        <v>1</v>
      </c>
      <c r="O470" s="19">
        <f t="shared" si="23"/>
        <v>0</v>
      </c>
      <c r="P470" s="19">
        <v>0</v>
      </c>
      <c r="Q470" s="19">
        <v>0</v>
      </c>
      <c r="R470" s="19">
        <v>0</v>
      </c>
      <c r="S470" s="19">
        <v>1</v>
      </c>
      <c r="T470" s="19">
        <v>0</v>
      </c>
      <c r="U470" t="s">
        <v>737</v>
      </c>
      <c r="V470" s="19">
        <v>471</v>
      </c>
      <c r="W470" s="20">
        <v>4.78534663296016E-2</v>
      </c>
      <c r="X470" s="8"/>
    </row>
    <row r="471" spans="1:24" x14ac:dyDescent="0.25">
      <c r="A471" s="23" t="s">
        <v>1413</v>
      </c>
      <c r="B471" s="18" t="s">
        <v>738</v>
      </c>
      <c r="C471" s="18" t="s">
        <v>7</v>
      </c>
      <c r="D471" s="5" t="s">
        <v>715</v>
      </c>
      <c r="E471" s="19">
        <v>0</v>
      </c>
      <c r="F471" s="19">
        <v>0</v>
      </c>
      <c r="G471" s="19">
        <v>0</v>
      </c>
      <c r="H471" s="19">
        <v>0</v>
      </c>
      <c r="I471" s="19">
        <v>1</v>
      </c>
      <c r="J471" s="19">
        <v>1</v>
      </c>
      <c r="K471" s="19">
        <f t="shared" si="21"/>
        <v>0</v>
      </c>
      <c r="L471" s="19">
        <v>1</v>
      </c>
      <c r="M471" s="19">
        <f t="shared" si="22"/>
        <v>0</v>
      </c>
      <c r="N471" s="19">
        <v>1</v>
      </c>
      <c r="O471" s="19">
        <f t="shared" si="23"/>
        <v>0</v>
      </c>
      <c r="P471" s="19">
        <v>0</v>
      </c>
      <c r="Q471" s="19">
        <v>0</v>
      </c>
      <c r="R471" s="19">
        <v>0</v>
      </c>
      <c r="S471" s="19">
        <v>1</v>
      </c>
      <c r="T471" s="19">
        <v>1</v>
      </c>
      <c r="U471" t="s">
        <v>739</v>
      </c>
      <c r="V471" s="19">
        <v>472</v>
      </c>
      <c r="W471" s="20">
        <v>3.26715240557316E-2</v>
      </c>
      <c r="X471" s="8"/>
    </row>
    <row r="472" spans="1:24" x14ac:dyDescent="0.25">
      <c r="A472" s="23" t="s">
        <v>1414</v>
      </c>
      <c r="B472" s="12" t="s">
        <v>740</v>
      </c>
      <c r="C472" s="12" t="s">
        <v>5</v>
      </c>
      <c r="D472" s="5" t="s">
        <v>715</v>
      </c>
      <c r="E472" s="13">
        <v>0</v>
      </c>
      <c r="F472" s="13">
        <v>0</v>
      </c>
      <c r="G472" s="13">
        <v>1</v>
      </c>
      <c r="H472" s="13">
        <v>0</v>
      </c>
      <c r="I472" s="13">
        <v>0</v>
      </c>
      <c r="J472" s="13">
        <v>0</v>
      </c>
      <c r="K472" s="13">
        <f t="shared" si="21"/>
        <v>0</v>
      </c>
      <c r="L472" s="13">
        <v>0</v>
      </c>
      <c r="M472" s="13">
        <f t="shared" si="22"/>
        <v>0</v>
      </c>
      <c r="N472" s="13">
        <v>0</v>
      </c>
      <c r="O472" s="13">
        <f t="shared" si="23"/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V472" s="13">
        <v>473</v>
      </c>
      <c r="W472" s="14">
        <v>5.3133733794980799E-2</v>
      </c>
      <c r="X472" s="8"/>
    </row>
    <row r="473" spans="1:24" x14ac:dyDescent="0.25">
      <c r="A473" s="23" t="s">
        <v>1415</v>
      </c>
      <c r="B473" s="15" t="s">
        <v>740</v>
      </c>
      <c r="C473" s="15" t="s">
        <v>25</v>
      </c>
      <c r="D473" s="5" t="s">
        <v>715</v>
      </c>
      <c r="E473" s="16">
        <v>0</v>
      </c>
      <c r="F473" s="16">
        <v>0</v>
      </c>
      <c r="G473" s="16">
        <v>0</v>
      </c>
      <c r="H473" s="16">
        <v>1</v>
      </c>
      <c r="I473" s="16">
        <v>0</v>
      </c>
      <c r="J473" s="16">
        <v>0</v>
      </c>
      <c r="K473" s="16">
        <f t="shared" si="21"/>
        <v>0</v>
      </c>
      <c r="L473" s="16">
        <v>0</v>
      </c>
      <c r="M473" s="16">
        <f t="shared" si="22"/>
        <v>0</v>
      </c>
      <c r="N473" s="16">
        <v>0</v>
      </c>
      <c r="O473" s="16">
        <f t="shared" si="23"/>
        <v>0</v>
      </c>
      <c r="P473" s="16">
        <v>0</v>
      </c>
      <c r="Q473" s="16">
        <v>0</v>
      </c>
      <c r="R473" s="16">
        <v>0</v>
      </c>
      <c r="S473" s="16">
        <v>0</v>
      </c>
      <c r="T473" s="16">
        <v>0</v>
      </c>
      <c r="V473" s="16">
        <v>474</v>
      </c>
      <c r="W473" s="17">
        <v>5.3133733794980799E-2</v>
      </c>
      <c r="X473" s="8"/>
    </row>
    <row r="474" spans="1:24" x14ac:dyDescent="0.25">
      <c r="A474" s="23" t="s">
        <v>1416</v>
      </c>
      <c r="B474" s="18" t="s">
        <v>741</v>
      </c>
      <c r="C474" s="18" t="s">
        <v>7</v>
      </c>
      <c r="D474" s="5" t="s">
        <v>715</v>
      </c>
      <c r="E474" s="19">
        <v>0</v>
      </c>
      <c r="F474" s="19">
        <v>0</v>
      </c>
      <c r="G474" s="19">
        <v>0</v>
      </c>
      <c r="H474" s="19">
        <v>0</v>
      </c>
      <c r="I474" s="19">
        <v>1</v>
      </c>
      <c r="J474" s="19">
        <v>1</v>
      </c>
      <c r="K474" s="19">
        <f t="shared" si="21"/>
        <v>0</v>
      </c>
      <c r="L474" s="19">
        <v>0</v>
      </c>
      <c r="M474" s="19">
        <f t="shared" si="22"/>
        <v>1</v>
      </c>
      <c r="N474" s="19">
        <v>0</v>
      </c>
      <c r="O474" s="19">
        <f t="shared" si="23"/>
        <v>1</v>
      </c>
      <c r="P474" s="19">
        <v>0</v>
      </c>
      <c r="Q474" s="19">
        <v>0</v>
      </c>
      <c r="R474" s="19">
        <v>0</v>
      </c>
      <c r="S474" s="19">
        <v>1</v>
      </c>
      <c r="T474" s="19">
        <v>1</v>
      </c>
      <c r="U474" t="s">
        <v>742</v>
      </c>
      <c r="V474" s="19">
        <v>475</v>
      </c>
      <c r="W474" s="20">
        <v>5.3133733794980799E-2</v>
      </c>
      <c r="X474" s="8"/>
    </row>
    <row r="475" spans="1:24" x14ac:dyDescent="0.25">
      <c r="A475" s="23" t="s">
        <v>1417</v>
      </c>
      <c r="B475" s="9" t="s">
        <v>743</v>
      </c>
      <c r="C475" s="9" t="s">
        <v>4</v>
      </c>
      <c r="D475" s="5" t="s">
        <v>715</v>
      </c>
      <c r="E475" s="10">
        <v>0</v>
      </c>
      <c r="F475" s="10">
        <v>1</v>
      </c>
      <c r="G475" s="10">
        <v>0</v>
      </c>
      <c r="H475" s="10">
        <v>0</v>
      </c>
      <c r="I475" s="10">
        <v>0</v>
      </c>
      <c r="J475" s="10">
        <v>0</v>
      </c>
      <c r="K475" s="10">
        <f t="shared" si="21"/>
        <v>0</v>
      </c>
      <c r="L475" s="10">
        <v>0</v>
      </c>
      <c r="M475" s="10">
        <f t="shared" si="22"/>
        <v>0</v>
      </c>
      <c r="N475" s="10">
        <v>0</v>
      </c>
      <c r="O475" s="10">
        <f t="shared" si="23"/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V475" s="10">
        <v>476</v>
      </c>
      <c r="W475" s="11">
        <v>1.6359027651723195</v>
      </c>
      <c r="X475" s="8"/>
    </row>
    <row r="476" spans="1:24" x14ac:dyDescent="0.25">
      <c r="A476" s="23" t="s">
        <v>1418</v>
      </c>
      <c r="B476" s="12" t="s">
        <v>744</v>
      </c>
      <c r="C476" s="12" t="s">
        <v>5</v>
      </c>
      <c r="D476" s="5" t="s">
        <v>715</v>
      </c>
      <c r="E476" s="13">
        <v>0</v>
      </c>
      <c r="F476" s="13">
        <v>0</v>
      </c>
      <c r="G476" s="13">
        <v>1</v>
      </c>
      <c r="H476" s="13">
        <v>0</v>
      </c>
      <c r="I476" s="13">
        <v>0</v>
      </c>
      <c r="J476" s="13">
        <v>0</v>
      </c>
      <c r="K476" s="13">
        <f t="shared" si="21"/>
        <v>0</v>
      </c>
      <c r="L476" s="13">
        <v>0</v>
      </c>
      <c r="M476" s="13">
        <f t="shared" si="22"/>
        <v>0</v>
      </c>
      <c r="N476" s="13">
        <v>0</v>
      </c>
      <c r="O476" s="13">
        <f t="shared" si="23"/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/>
      <c r="V476" s="13">
        <v>477</v>
      </c>
      <c r="W476" s="14">
        <v>0.212710477619906</v>
      </c>
      <c r="X476" s="8"/>
    </row>
    <row r="477" spans="1:24" x14ac:dyDescent="0.25">
      <c r="A477" s="23" t="s">
        <v>1419</v>
      </c>
      <c r="B477" s="15" t="s">
        <v>745</v>
      </c>
      <c r="C477" s="15" t="s">
        <v>25</v>
      </c>
      <c r="D477" s="5" t="s">
        <v>715</v>
      </c>
      <c r="E477" s="16">
        <v>0</v>
      </c>
      <c r="F477" s="16">
        <v>0</v>
      </c>
      <c r="G477" s="16">
        <v>0</v>
      </c>
      <c r="H477" s="16">
        <v>1</v>
      </c>
      <c r="I477" s="16">
        <v>0</v>
      </c>
      <c r="J477" s="16">
        <v>0</v>
      </c>
      <c r="K477" s="16">
        <f t="shared" si="21"/>
        <v>0</v>
      </c>
      <c r="L477" s="16">
        <v>0</v>
      </c>
      <c r="M477" s="16">
        <f t="shared" si="22"/>
        <v>0</v>
      </c>
      <c r="N477" s="16">
        <v>0</v>
      </c>
      <c r="O477" s="16">
        <f t="shared" si="23"/>
        <v>0</v>
      </c>
      <c r="P477" s="16">
        <v>0</v>
      </c>
      <c r="Q477" s="16">
        <v>0</v>
      </c>
      <c r="R477" s="16">
        <v>0</v>
      </c>
      <c r="S477" s="16">
        <v>0</v>
      </c>
      <c r="T477" s="16">
        <v>0</v>
      </c>
      <c r="V477" s="16">
        <v>478</v>
      </c>
      <c r="W477" s="17">
        <v>0.212710477619906</v>
      </c>
      <c r="X477" s="8"/>
    </row>
    <row r="478" spans="1:24" x14ac:dyDescent="0.25">
      <c r="A478" s="23" t="s">
        <v>1420</v>
      </c>
      <c r="B478" s="18" t="s">
        <v>746</v>
      </c>
      <c r="C478" s="18" t="s">
        <v>7</v>
      </c>
      <c r="D478" s="5" t="s">
        <v>715</v>
      </c>
      <c r="E478" s="19">
        <v>0</v>
      </c>
      <c r="F478" s="19">
        <v>0</v>
      </c>
      <c r="G478" s="19">
        <v>0</v>
      </c>
      <c r="H478" s="19">
        <v>0</v>
      </c>
      <c r="I478" s="19">
        <v>1</v>
      </c>
      <c r="J478" s="19">
        <v>1</v>
      </c>
      <c r="K478" s="19">
        <f t="shared" si="21"/>
        <v>0</v>
      </c>
      <c r="L478" s="19">
        <v>0</v>
      </c>
      <c r="M478" s="19">
        <f t="shared" si="22"/>
        <v>1</v>
      </c>
      <c r="N478" s="19">
        <v>0</v>
      </c>
      <c r="O478" s="19">
        <f t="shared" si="23"/>
        <v>1</v>
      </c>
      <c r="P478" s="19">
        <v>0</v>
      </c>
      <c r="Q478" s="19">
        <v>0</v>
      </c>
      <c r="R478" s="19">
        <v>0</v>
      </c>
      <c r="S478" s="19">
        <v>1</v>
      </c>
      <c r="T478" s="19">
        <v>0</v>
      </c>
      <c r="U478" t="s">
        <v>747</v>
      </c>
      <c r="V478" s="19">
        <v>479</v>
      </c>
      <c r="W478" s="20">
        <v>0.212710477619906</v>
      </c>
      <c r="X478" s="8"/>
    </row>
    <row r="479" spans="1:24" x14ac:dyDescent="0.25">
      <c r="A479" s="23" t="s">
        <v>1421</v>
      </c>
      <c r="B479" s="12" t="s">
        <v>748</v>
      </c>
      <c r="C479" s="12" t="s">
        <v>5</v>
      </c>
      <c r="D479" s="5" t="s">
        <v>715</v>
      </c>
      <c r="E479" s="13">
        <v>0</v>
      </c>
      <c r="F479" s="13">
        <v>0</v>
      </c>
      <c r="G479" s="13">
        <v>1</v>
      </c>
      <c r="H479" s="13">
        <v>0</v>
      </c>
      <c r="I479" s="13">
        <v>0</v>
      </c>
      <c r="J479" s="13">
        <v>0</v>
      </c>
      <c r="K479" s="13">
        <f t="shared" si="21"/>
        <v>0</v>
      </c>
      <c r="L479" s="13">
        <v>0</v>
      </c>
      <c r="M479" s="13">
        <f t="shared" si="22"/>
        <v>0</v>
      </c>
      <c r="N479" s="13">
        <v>0</v>
      </c>
      <c r="O479" s="13">
        <f t="shared" si="23"/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V479" s="13">
        <v>480</v>
      </c>
      <c r="W479" s="14">
        <v>0.63149763517170454</v>
      </c>
      <c r="X479" s="8"/>
    </row>
    <row r="480" spans="1:24" x14ac:dyDescent="0.25">
      <c r="A480" s="23" t="s">
        <v>1422</v>
      </c>
      <c r="B480" s="15" t="s">
        <v>749</v>
      </c>
      <c r="C480" s="15" t="s">
        <v>25</v>
      </c>
      <c r="D480" s="5" t="s">
        <v>715</v>
      </c>
      <c r="E480" s="16">
        <v>0</v>
      </c>
      <c r="F480" s="16">
        <v>0</v>
      </c>
      <c r="G480" s="16">
        <v>0</v>
      </c>
      <c r="H480" s="16">
        <v>1</v>
      </c>
      <c r="I480" s="16">
        <v>0</v>
      </c>
      <c r="J480" s="16">
        <v>0</v>
      </c>
      <c r="K480" s="16">
        <f t="shared" si="21"/>
        <v>0</v>
      </c>
      <c r="L480" s="16">
        <v>0</v>
      </c>
      <c r="M480" s="16">
        <f t="shared" si="22"/>
        <v>0</v>
      </c>
      <c r="N480" s="16">
        <v>0</v>
      </c>
      <c r="O480" s="16">
        <f t="shared" si="23"/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/>
      <c r="V480" s="16">
        <v>481</v>
      </c>
      <c r="W480" s="17">
        <v>0.63149763517170454</v>
      </c>
      <c r="X480" s="8"/>
    </row>
    <row r="481" spans="1:24" x14ac:dyDescent="0.25">
      <c r="A481" s="23" t="s">
        <v>1423</v>
      </c>
      <c r="B481" s="18" t="s">
        <v>750</v>
      </c>
      <c r="C481" s="18" t="s">
        <v>7</v>
      </c>
      <c r="D481" s="5" t="s">
        <v>715</v>
      </c>
      <c r="E481" s="19">
        <v>0</v>
      </c>
      <c r="F481" s="19">
        <v>0</v>
      </c>
      <c r="G481" s="19">
        <v>0</v>
      </c>
      <c r="H481" s="19">
        <v>0</v>
      </c>
      <c r="I481" s="19">
        <v>1</v>
      </c>
      <c r="J481" s="19">
        <v>1</v>
      </c>
      <c r="K481" s="19">
        <f t="shared" si="21"/>
        <v>0</v>
      </c>
      <c r="L481" s="19">
        <v>1</v>
      </c>
      <c r="M481" s="19">
        <f t="shared" si="22"/>
        <v>0</v>
      </c>
      <c r="N481" s="19">
        <v>0</v>
      </c>
      <c r="O481" s="19">
        <f t="shared" si="23"/>
        <v>1</v>
      </c>
      <c r="P481" s="19">
        <v>0</v>
      </c>
      <c r="Q481" s="19">
        <v>0</v>
      </c>
      <c r="R481" s="19">
        <v>0</v>
      </c>
      <c r="S481" s="19">
        <v>1</v>
      </c>
      <c r="T481" s="19">
        <v>0</v>
      </c>
      <c r="U481" t="s">
        <v>751</v>
      </c>
      <c r="V481" s="19">
        <v>482</v>
      </c>
      <c r="W481" s="20">
        <v>0.55092751282096997</v>
      </c>
      <c r="X481" s="8"/>
    </row>
    <row r="482" spans="1:24" x14ac:dyDescent="0.25">
      <c r="A482" s="23" t="s">
        <v>1424</v>
      </c>
      <c r="B482" s="18" t="s">
        <v>752</v>
      </c>
      <c r="C482" s="18" t="s">
        <v>7</v>
      </c>
      <c r="D482" s="5" t="s">
        <v>715</v>
      </c>
      <c r="E482" s="19">
        <v>0</v>
      </c>
      <c r="F482" s="19">
        <v>0</v>
      </c>
      <c r="G482" s="19">
        <v>0</v>
      </c>
      <c r="H482" s="19">
        <v>0</v>
      </c>
      <c r="I482" s="19">
        <v>1</v>
      </c>
      <c r="J482" s="19">
        <v>1</v>
      </c>
      <c r="K482" s="19">
        <f t="shared" si="21"/>
        <v>0</v>
      </c>
      <c r="L482" s="19">
        <v>0</v>
      </c>
      <c r="M482" s="19">
        <f t="shared" si="22"/>
        <v>1</v>
      </c>
      <c r="N482" s="19">
        <v>0</v>
      </c>
      <c r="O482" s="19">
        <f t="shared" si="23"/>
        <v>1</v>
      </c>
      <c r="P482" s="19">
        <v>0</v>
      </c>
      <c r="Q482" s="19">
        <v>0</v>
      </c>
      <c r="R482" s="19">
        <v>0</v>
      </c>
      <c r="S482" s="19">
        <v>1</v>
      </c>
      <c r="T482" s="19">
        <v>0</v>
      </c>
      <c r="U482" t="s">
        <v>753</v>
      </c>
      <c r="V482" s="19">
        <v>483</v>
      </c>
      <c r="W482" s="20">
        <v>8.0570122350734602E-2</v>
      </c>
      <c r="X482" s="8"/>
    </row>
    <row r="483" spans="1:24" x14ac:dyDescent="0.25">
      <c r="A483" s="23" t="s">
        <v>1425</v>
      </c>
      <c r="B483" s="12" t="s">
        <v>754</v>
      </c>
      <c r="C483" s="12" t="s">
        <v>5</v>
      </c>
      <c r="D483" s="5" t="s">
        <v>715</v>
      </c>
      <c r="E483" s="13">
        <v>0</v>
      </c>
      <c r="F483" s="13">
        <v>0</v>
      </c>
      <c r="G483" s="13">
        <v>1</v>
      </c>
      <c r="H483" s="13">
        <v>0</v>
      </c>
      <c r="I483" s="13">
        <v>0</v>
      </c>
      <c r="J483" s="13">
        <v>0</v>
      </c>
      <c r="K483" s="13">
        <f t="shared" si="21"/>
        <v>0</v>
      </c>
      <c r="L483" s="13">
        <v>0</v>
      </c>
      <c r="M483" s="13">
        <f t="shared" si="22"/>
        <v>0</v>
      </c>
      <c r="N483" s="13">
        <v>0</v>
      </c>
      <c r="O483" s="13">
        <f t="shared" si="23"/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/>
      <c r="V483" s="13">
        <v>484</v>
      </c>
      <c r="W483" s="14">
        <v>0.79169465238070902</v>
      </c>
      <c r="X483" s="8"/>
    </row>
    <row r="484" spans="1:24" x14ac:dyDescent="0.25">
      <c r="A484" s="23" t="s">
        <v>1426</v>
      </c>
      <c r="B484" s="15" t="s">
        <v>754</v>
      </c>
      <c r="C484" s="15" t="s">
        <v>25</v>
      </c>
      <c r="D484" s="5" t="s">
        <v>715</v>
      </c>
      <c r="E484" s="16">
        <v>0</v>
      </c>
      <c r="F484" s="16">
        <v>0</v>
      </c>
      <c r="G484" s="16">
        <v>0</v>
      </c>
      <c r="H484" s="16">
        <v>1</v>
      </c>
      <c r="I484" s="16">
        <v>0</v>
      </c>
      <c r="J484" s="16">
        <v>0</v>
      </c>
      <c r="K484" s="16">
        <f t="shared" si="21"/>
        <v>0</v>
      </c>
      <c r="L484" s="16">
        <v>0</v>
      </c>
      <c r="M484" s="16">
        <f t="shared" si="22"/>
        <v>0</v>
      </c>
      <c r="N484" s="16">
        <v>0</v>
      </c>
      <c r="O484" s="16">
        <f t="shared" si="23"/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V484" s="16">
        <v>485</v>
      </c>
      <c r="W484" s="17">
        <v>0.79169465238070902</v>
      </c>
      <c r="X484" s="8"/>
    </row>
    <row r="485" spans="1:24" x14ac:dyDescent="0.25">
      <c r="A485" s="23" t="s">
        <v>1427</v>
      </c>
      <c r="B485" s="18" t="s">
        <v>755</v>
      </c>
      <c r="C485" s="18" t="s">
        <v>7</v>
      </c>
      <c r="D485" s="5" t="s">
        <v>715</v>
      </c>
      <c r="E485" s="19">
        <v>0</v>
      </c>
      <c r="F485" s="19">
        <v>0</v>
      </c>
      <c r="G485" s="19">
        <v>0</v>
      </c>
      <c r="H485" s="19">
        <v>0</v>
      </c>
      <c r="I485" s="19">
        <v>1</v>
      </c>
      <c r="J485" s="19">
        <v>1</v>
      </c>
      <c r="K485" s="19">
        <f t="shared" si="21"/>
        <v>0</v>
      </c>
      <c r="L485" s="19">
        <v>0</v>
      </c>
      <c r="M485" s="19">
        <f t="shared" si="22"/>
        <v>1</v>
      </c>
      <c r="N485" s="19">
        <v>0</v>
      </c>
      <c r="O485" s="19">
        <f t="shared" si="23"/>
        <v>1</v>
      </c>
      <c r="P485" s="19">
        <v>0</v>
      </c>
      <c r="Q485" s="19">
        <v>0</v>
      </c>
      <c r="R485" s="19">
        <v>0</v>
      </c>
      <c r="S485" s="19">
        <v>1</v>
      </c>
      <c r="T485" s="19">
        <v>0</v>
      </c>
      <c r="U485" t="s">
        <v>756</v>
      </c>
      <c r="V485" s="19">
        <v>486</v>
      </c>
      <c r="W485" s="20">
        <v>0.79169465238070902</v>
      </c>
      <c r="X485" s="8"/>
    </row>
    <row r="486" spans="1:24" x14ac:dyDescent="0.25">
      <c r="A486" s="23" t="s">
        <v>1428</v>
      </c>
      <c r="B486" s="9" t="s">
        <v>757</v>
      </c>
      <c r="C486" s="9" t="s">
        <v>4</v>
      </c>
      <c r="D486" s="5" t="s">
        <v>715</v>
      </c>
      <c r="E486" s="10">
        <v>0</v>
      </c>
      <c r="F486" s="10">
        <v>1</v>
      </c>
      <c r="G486" s="10">
        <v>0</v>
      </c>
      <c r="H486" s="10">
        <v>0</v>
      </c>
      <c r="I486" s="10">
        <v>0</v>
      </c>
      <c r="J486" s="10">
        <v>0</v>
      </c>
      <c r="K486" s="10">
        <f t="shared" si="21"/>
        <v>0</v>
      </c>
      <c r="L486" s="10">
        <v>0</v>
      </c>
      <c r="M486" s="10">
        <f t="shared" si="22"/>
        <v>0</v>
      </c>
      <c r="N486" s="10">
        <v>0</v>
      </c>
      <c r="O486" s="10">
        <f t="shared" si="23"/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V486" s="10">
        <v>487</v>
      </c>
      <c r="W486" s="11">
        <v>0.59547164390080098</v>
      </c>
      <c r="X486" s="8"/>
    </row>
    <row r="487" spans="1:24" x14ac:dyDescent="0.25">
      <c r="A487" s="23" t="s">
        <v>1429</v>
      </c>
      <c r="B487" s="12" t="s">
        <v>758</v>
      </c>
      <c r="C487" s="12" t="s">
        <v>5</v>
      </c>
      <c r="D487" s="5" t="s">
        <v>715</v>
      </c>
      <c r="E487" s="13">
        <v>0</v>
      </c>
      <c r="F487" s="13">
        <v>0</v>
      </c>
      <c r="G487" s="13">
        <v>1</v>
      </c>
      <c r="H487" s="13">
        <v>0</v>
      </c>
      <c r="I487" s="13">
        <v>0</v>
      </c>
      <c r="J487" s="13">
        <v>0</v>
      </c>
      <c r="K487" s="13">
        <f t="shared" si="21"/>
        <v>0</v>
      </c>
      <c r="L487" s="13">
        <v>0</v>
      </c>
      <c r="M487" s="13">
        <f t="shared" si="22"/>
        <v>0</v>
      </c>
      <c r="N487" s="13">
        <v>0</v>
      </c>
      <c r="O487" s="13">
        <f t="shared" si="23"/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V487" s="13">
        <v>488</v>
      </c>
      <c r="W487" s="14">
        <v>0.37345707002464101</v>
      </c>
      <c r="X487" s="8"/>
    </row>
    <row r="488" spans="1:24" x14ac:dyDescent="0.25">
      <c r="A488" s="23" t="s">
        <v>1430</v>
      </c>
      <c r="B488" s="15" t="s">
        <v>758</v>
      </c>
      <c r="C488" s="15" t="s">
        <v>25</v>
      </c>
      <c r="D488" s="5" t="s">
        <v>715</v>
      </c>
      <c r="E488" s="16">
        <v>0</v>
      </c>
      <c r="F488" s="16">
        <v>0</v>
      </c>
      <c r="G488" s="16">
        <v>0</v>
      </c>
      <c r="H488" s="16">
        <v>1</v>
      </c>
      <c r="I488" s="16">
        <v>0</v>
      </c>
      <c r="J488" s="16">
        <v>0</v>
      </c>
      <c r="K488" s="16">
        <f t="shared" si="21"/>
        <v>0</v>
      </c>
      <c r="L488" s="16">
        <v>0</v>
      </c>
      <c r="M488" s="16">
        <f t="shared" si="22"/>
        <v>0</v>
      </c>
      <c r="N488" s="16">
        <v>0</v>
      </c>
      <c r="O488" s="16">
        <f t="shared" si="23"/>
        <v>0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V488" s="16">
        <v>489</v>
      </c>
      <c r="W488" s="17">
        <v>0.37345707002464101</v>
      </c>
      <c r="X488" s="8"/>
    </row>
    <row r="489" spans="1:24" x14ac:dyDescent="0.25">
      <c r="A489" s="23" t="s">
        <v>1431</v>
      </c>
      <c r="B489" s="18" t="s">
        <v>759</v>
      </c>
      <c r="C489" s="18" t="s">
        <v>7</v>
      </c>
      <c r="D489" s="5" t="s">
        <v>715</v>
      </c>
      <c r="E489" s="19">
        <v>0</v>
      </c>
      <c r="F489" s="19">
        <v>0</v>
      </c>
      <c r="G489" s="19">
        <v>0</v>
      </c>
      <c r="H489" s="19">
        <v>0</v>
      </c>
      <c r="I489" s="19">
        <v>1</v>
      </c>
      <c r="J489" s="19">
        <v>1</v>
      </c>
      <c r="K489" s="19">
        <f t="shared" si="21"/>
        <v>0</v>
      </c>
      <c r="L489" s="19">
        <v>0</v>
      </c>
      <c r="M489" s="19">
        <f t="shared" si="22"/>
        <v>1</v>
      </c>
      <c r="N489" s="19">
        <v>1</v>
      </c>
      <c r="O489" s="19">
        <f t="shared" si="23"/>
        <v>0</v>
      </c>
      <c r="P489" s="19">
        <v>0</v>
      </c>
      <c r="Q489" s="19">
        <v>0</v>
      </c>
      <c r="R489" s="19">
        <v>0</v>
      </c>
      <c r="S489" s="19">
        <v>1</v>
      </c>
      <c r="T489" s="19">
        <v>0</v>
      </c>
      <c r="U489" t="s">
        <v>760</v>
      </c>
      <c r="V489" s="19">
        <v>490</v>
      </c>
      <c r="W489" s="20">
        <v>0.23330057588669001</v>
      </c>
      <c r="X489" s="8"/>
    </row>
    <row r="490" spans="1:24" x14ac:dyDescent="0.25">
      <c r="A490" s="23" t="s">
        <v>1432</v>
      </c>
      <c r="B490" s="18" t="s">
        <v>761</v>
      </c>
      <c r="C490" s="18" t="s">
        <v>7</v>
      </c>
      <c r="D490" s="5" t="s">
        <v>715</v>
      </c>
      <c r="E490" s="19">
        <v>0</v>
      </c>
      <c r="F490" s="19">
        <v>0</v>
      </c>
      <c r="G490" s="19">
        <v>0</v>
      </c>
      <c r="H490" s="19">
        <v>0</v>
      </c>
      <c r="I490" s="19">
        <v>1</v>
      </c>
      <c r="J490" s="19">
        <v>1</v>
      </c>
      <c r="K490" s="19">
        <f t="shared" si="21"/>
        <v>0</v>
      </c>
      <c r="L490" s="19">
        <v>1</v>
      </c>
      <c r="M490" s="19">
        <f t="shared" si="22"/>
        <v>0</v>
      </c>
      <c r="N490" s="19">
        <v>1</v>
      </c>
      <c r="O490" s="19">
        <f t="shared" si="23"/>
        <v>0</v>
      </c>
      <c r="P490" s="19">
        <v>0</v>
      </c>
      <c r="Q490" s="19">
        <v>0</v>
      </c>
      <c r="R490" s="19">
        <v>0</v>
      </c>
      <c r="S490" s="19">
        <v>1</v>
      </c>
      <c r="T490" s="19">
        <v>0</v>
      </c>
      <c r="U490" t="s">
        <v>762</v>
      </c>
      <c r="V490" s="19">
        <v>491</v>
      </c>
      <c r="W490" s="20">
        <v>0.140156494137951</v>
      </c>
      <c r="X490" s="8"/>
    </row>
    <row r="491" spans="1:24" x14ac:dyDescent="0.25">
      <c r="A491" s="23" t="s">
        <v>1433</v>
      </c>
      <c r="B491" s="12" t="s">
        <v>763</v>
      </c>
      <c r="C491" s="12" t="s">
        <v>5</v>
      </c>
      <c r="D491" s="5" t="s">
        <v>715</v>
      </c>
      <c r="E491" s="13">
        <v>0</v>
      </c>
      <c r="F491" s="13">
        <v>0</v>
      </c>
      <c r="G491" s="13">
        <v>1</v>
      </c>
      <c r="H491" s="13">
        <v>0</v>
      </c>
      <c r="I491" s="13">
        <v>0</v>
      </c>
      <c r="J491" s="13">
        <v>0</v>
      </c>
      <c r="K491" s="13">
        <f t="shared" si="21"/>
        <v>0</v>
      </c>
      <c r="L491" s="13">
        <v>0</v>
      </c>
      <c r="M491" s="13">
        <f t="shared" si="22"/>
        <v>0</v>
      </c>
      <c r="N491" s="13">
        <v>0</v>
      </c>
      <c r="O491" s="13">
        <f t="shared" si="23"/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V491" s="13">
        <v>492</v>
      </c>
      <c r="W491" s="14">
        <v>0.22201457387616</v>
      </c>
      <c r="X491" s="8"/>
    </row>
    <row r="492" spans="1:24" x14ac:dyDescent="0.25">
      <c r="A492" s="23" t="s">
        <v>1434</v>
      </c>
      <c r="B492" s="15" t="s">
        <v>763</v>
      </c>
      <c r="C492" s="15" t="s">
        <v>25</v>
      </c>
      <c r="D492" s="5" t="s">
        <v>715</v>
      </c>
      <c r="E492" s="16">
        <v>0</v>
      </c>
      <c r="F492" s="16">
        <v>0</v>
      </c>
      <c r="G492" s="16">
        <v>0</v>
      </c>
      <c r="H492" s="16">
        <v>1</v>
      </c>
      <c r="I492" s="16">
        <v>0</v>
      </c>
      <c r="J492" s="16">
        <v>0</v>
      </c>
      <c r="K492" s="16">
        <f t="shared" si="21"/>
        <v>0</v>
      </c>
      <c r="L492" s="16">
        <v>0</v>
      </c>
      <c r="M492" s="16">
        <f t="shared" si="22"/>
        <v>0</v>
      </c>
      <c r="N492" s="16">
        <v>0</v>
      </c>
      <c r="O492" s="16">
        <f t="shared" si="23"/>
        <v>0</v>
      </c>
      <c r="P492" s="16">
        <v>0</v>
      </c>
      <c r="Q492" s="16">
        <v>0</v>
      </c>
      <c r="R492" s="16">
        <v>0</v>
      </c>
      <c r="S492" s="16">
        <v>0</v>
      </c>
      <c r="T492" s="16">
        <v>0</v>
      </c>
      <c r="U492"/>
      <c r="V492" s="16">
        <v>493</v>
      </c>
      <c r="W492" s="17">
        <v>0.22201457387616</v>
      </c>
      <c r="X492" s="8"/>
    </row>
    <row r="493" spans="1:24" x14ac:dyDescent="0.25">
      <c r="A493" s="23" t="s">
        <v>1435</v>
      </c>
      <c r="B493" s="18" t="s">
        <v>764</v>
      </c>
      <c r="C493" s="18" t="s">
        <v>7</v>
      </c>
      <c r="D493" s="5" t="s">
        <v>715</v>
      </c>
      <c r="E493" s="19">
        <v>0</v>
      </c>
      <c r="F493" s="19">
        <v>0</v>
      </c>
      <c r="G493" s="19">
        <v>0</v>
      </c>
      <c r="H493" s="19">
        <v>0</v>
      </c>
      <c r="I493" s="19">
        <v>1</v>
      </c>
      <c r="J493" s="19">
        <v>1</v>
      </c>
      <c r="K493" s="19">
        <f t="shared" si="21"/>
        <v>0</v>
      </c>
      <c r="L493" s="19">
        <v>1</v>
      </c>
      <c r="M493" s="19">
        <f t="shared" si="22"/>
        <v>0</v>
      </c>
      <c r="N493" s="19">
        <v>1</v>
      </c>
      <c r="O493" s="19">
        <f t="shared" si="23"/>
        <v>0</v>
      </c>
      <c r="P493" s="19">
        <v>0</v>
      </c>
      <c r="Q493" s="19">
        <v>0</v>
      </c>
      <c r="R493" s="19">
        <v>0</v>
      </c>
      <c r="S493" s="19">
        <v>1</v>
      </c>
      <c r="T493" s="19">
        <v>0</v>
      </c>
      <c r="U493" t="s">
        <v>765</v>
      </c>
      <c r="V493" s="19">
        <v>494</v>
      </c>
      <c r="W493" s="20">
        <v>0.14335651651730899</v>
      </c>
      <c r="X493" s="8"/>
    </row>
    <row r="494" spans="1:24" x14ac:dyDescent="0.25">
      <c r="A494" s="23" t="s">
        <v>1436</v>
      </c>
      <c r="B494" s="18" t="s">
        <v>766</v>
      </c>
      <c r="C494" s="18" t="s">
        <v>7</v>
      </c>
      <c r="D494" s="5" t="s">
        <v>715</v>
      </c>
      <c r="E494" s="19">
        <v>0</v>
      </c>
      <c r="F494" s="19">
        <v>0</v>
      </c>
      <c r="G494" s="19">
        <v>0</v>
      </c>
      <c r="H494" s="19">
        <v>0</v>
      </c>
      <c r="I494" s="19">
        <v>1</v>
      </c>
      <c r="J494" s="19">
        <v>1</v>
      </c>
      <c r="K494" s="19">
        <f t="shared" si="21"/>
        <v>0</v>
      </c>
      <c r="L494" s="19">
        <v>1</v>
      </c>
      <c r="M494" s="19">
        <f t="shared" si="22"/>
        <v>0</v>
      </c>
      <c r="N494" s="19">
        <v>1</v>
      </c>
      <c r="O494" s="19">
        <f t="shared" si="23"/>
        <v>0</v>
      </c>
      <c r="P494" s="19">
        <v>0</v>
      </c>
      <c r="Q494" s="19">
        <v>0</v>
      </c>
      <c r="R494" s="19">
        <v>0</v>
      </c>
      <c r="S494" s="19">
        <v>1</v>
      </c>
      <c r="T494" s="19">
        <v>0</v>
      </c>
      <c r="U494" t="s">
        <v>767</v>
      </c>
      <c r="V494" s="19">
        <v>495</v>
      </c>
      <c r="W494" s="20">
        <v>5.5870142052303999E-2</v>
      </c>
      <c r="X494" s="8"/>
    </row>
    <row r="495" spans="1:24" x14ac:dyDescent="0.25">
      <c r="A495" s="23" t="s">
        <v>1437</v>
      </c>
      <c r="B495" s="18" t="s">
        <v>768</v>
      </c>
      <c r="C495" s="18" t="s">
        <v>7</v>
      </c>
      <c r="D495" s="5" t="s">
        <v>715</v>
      </c>
      <c r="E495" s="19">
        <v>0</v>
      </c>
      <c r="F495" s="19">
        <v>0</v>
      </c>
      <c r="G495" s="19">
        <v>0</v>
      </c>
      <c r="H495" s="19">
        <v>0</v>
      </c>
      <c r="I495" s="19">
        <v>1</v>
      </c>
      <c r="J495" s="19">
        <v>1</v>
      </c>
      <c r="K495" s="19">
        <f t="shared" si="21"/>
        <v>0</v>
      </c>
      <c r="L495" s="19">
        <v>1</v>
      </c>
      <c r="M495" s="19">
        <f t="shared" si="22"/>
        <v>0</v>
      </c>
      <c r="N495" s="19">
        <v>1</v>
      </c>
      <c r="O495" s="19">
        <f t="shared" si="23"/>
        <v>0</v>
      </c>
      <c r="P495" s="19">
        <v>0</v>
      </c>
      <c r="Q495" s="19">
        <v>0</v>
      </c>
      <c r="R495" s="19">
        <v>0</v>
      </c>
      <c r="S495" s="19">
        <v>1</v>
      </c>
      <c r="T495" s="19">
        <v>0</v>
      </c>
      <c r="U495" t="s">
        <v>769</v>
      </c>
      <c r="V495" s="19">
        <v>496</v>
      </c>
      <c r="W495" s="20">
        <v>1.0928943214115101E-2</v>
      </c>
      <c r="X495" s="8"/>
    </row>
    <row r="496" spans="1:24" x14ac:dyDescent="0.25">
      <c r="A496" s="23" t="s">
        <v>1438</v>
      </c>
      <c r="B496" s="18" t="s">
        <v>770</v>
      </c>
      <c r="C496" s="18" t="s">
        <v>7</v>
      </c>
      <c r="D496" s="5" t="s">
        <v>715</v>
      </c>
      <c r="E496" s="19">
        <v>0</v>
      </c>
      <c r="F496" s="19">
        <v>0</v>
      </c>
      <c r="G496" s="19">
        <v>0</v>
      </c>
      <c r="H496" s="19">
        <v>0</v>
      </c>
      <c r="I496" s="19">
        <v>1</v>
      </c>
      <c r="J496" s="19">
        <v>1</v>
      </c>
      <c r="K496" s="19">
        <f t="shared" si="21"/>
        <v>0</v>
      </c>
      <c r="L496" s="19">
        <v>1</v>
      </c>
      <c r="M496" s="19">
        <f t="shared" si="22"/>
        <v>0</v>
      </c>
      <c r="N496" s="19">
        <v>1</v>
      </c>
      <c r="O496" s="19">
        <f t="shared" si="23"/>
        <v>0</v>
      </c>
      <c r="P496" s="19">
        <v>0</v>
      </c>
      <c r="Q496" s="19">
        <v>0</v>
      </c>
      <c r="R496" s="19">
        <v>0</v>
      </c>
      <c r="S496" s="19">
        <v>1</v>
      </c>
      <c r="T496" s="19">
        <v>1</v>
      </c>
      <c r="U496" t="s">
        <v>771</v>
      </c>
      <c r="V496" s="19">
        <v>497</v>
      </c>
      <c r="W496" s="20">
        <v>1.18589720924319E-2</v>
      </c>
      <c r="X496" s="8"/>
    </row>
    <row r="497" spans="1:24" x14ac:dyDescent="0.25">
      <c r="A497" s="23" t="s">
        <v>1439</v>
      </c>
      <c r="B497" s="9" t="s">
        <v>772</v>
      </c>
      <c r="C497" s="9" t="s">
        <v>4</v>
      </c>
      <c r="D497" s="5" t="s">
        <v>715</v>
      </c>
      <c r="E497" s="10">
        <v>0</v>
      </c>
      <c r="F497" s="10">
        <v>1</v>
      </c>
      <c r="G497" s="10">
        <v>0</v>
      </c>
      <c r="H497" s="10">
        <v>0</v>
      </c>
      <c r="I497" s="10">
        <v>0</v>
      </c>
      <c r="J497" s="10">
        <v>0</v>
      </c>
      <c r="K497" s="10">
        <f t="shared" si="21"/>
        <v>0</v>
      </c>
      <c r="L497" s="10">
        <v>0</v>
      </c>
      <c r="M497" s="10">
        <f t="shared" si="22"/>
        <v>0</v>
      </c>
      <c r="N497" s="10">
        <v>0</v>
      </c>
      <c r="O497" s="10">
        <f t="shared" si="23"/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V497" s="10">
        <v>498</v>
      </c>
      <c r="W497" s="11">
        <v>0.24362898971894401</v>
      </c>
      <c r="X497" s="8"/>
    </row>
    <row r="498" spans="1:24" x14ac:dyDescent="0.25">
      <c r="A498" s="23" t="s">
        <v>1440</v>
      </c>
      <c r="B498" s="12" t="s">
        <v>773</v>
      </c>
      <c r="C498" s="12" t="s">
        <v>5</v>
      </c>
      <c r="D498" s="5" t="s">
        <v>715</v>
      </c>
      <c r="E498" s="13">
        <v>0</v>
      </c>
      <c r="F498" s="13">
        <v>0</v>
      </c>
      <c r="G498" s="13">
        <v>1</v>
      </c>
      <c r="H498" s="13">
        <v>0</v>
      </c>
      <c r="I498" s="13">
        <v>0</v>
      </c>
      <c r="J498" s="13">
        <v>0</v>
      </c>
      <c r="K498" s="13">
        <f t="shared" si="21"/>
        <v>0</v>
      </c>
      <c r="L498" s="13">
        <v>0</v>
      </c>
      <c r="M498" s="13">
        <f t="shared" si="22"/>
        <v>0</v>
      </c>
      <c r="N498" s="13">
        <v>0</v>
      </c>
      <c r="O498" s="13">
        <f t="shared" si="23"/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V498" s="13">
        <v>499</v>
      </c>
      <c r="W498" s="14">
        <v>0.24362898971894401</v>
      </c>
      <c r="X498" s="8"/>
    </row>
    <row r="499" spans="1:24" x14ac:dyDescent="0.25">
      <c r="A499" s="23" t="s">
        <v>1441</v>
      </c>
      <c r="B499" s="15" t="s">
        <v>773</v>
      </c>
      <c r="C499" s="15" t="s">
        <v>25</v>
      </c>
      <c r="D499" s="5" t="s">
        <v>715</v>
      </c>
      <c r="E499" s="16">
        <v>0</v>
      </c>
      <c r="F499" s="16">
        <v>0</v>
      </c>
      <c r="G499" s="16">
        <v>0</v>
      </c>
      <c r="H499" s="16">
        <v>1</v>
      </c>
      <c r="I499" s="16">
        <v>0</v>
      </c>
      <c r="J499" s="16">
        <v>0</v>
      </c>
      <c r="K499" s="16">
        <f t="shared" si="21"/>
        <v>0</v>
      </c>
      <c r="L499" s="16">
        <v>0</v>
      </c>
      <c r="M499" s="16">
        <f t="shared" si="22"/>
        <v>0</v>
      </c>
      <c r="N499" s="16">
        <v>0</v>
      </c>
      <c r="O499" s="16">
        <f t="shared" si="23"/>
        <v>0</v>
      </c>
      <c r="P499" s="16">
        <v>0</v>
      </c>
      <c r="Q499" s="16">
        <v>0</v>
      </c>
      <c r="R499" s="16">
        <v>0</v>
      </c>
      <c r="S499" s="16">
        <v>0</v>
      </c>
      <c r="T499" s="16">
        <v>0</v>
      </c>
      <c r="V499" s="16">
        <v>500</v>
      </c>
      <c r="W499" s="17">
        <v>0.24362898971894401</v>
      </c>
      <c r="X499" s="8"/>
    </row>
    <row r="500" spans="1:24" x14ac:dyDescent="0.25">
      <c r="A500" s="23" t="s">
        <v>1442</v>
      </c>
      <c r="B500" s="18" t="s">
        <v>773</v>
      </c>
      <c r="C500" s="18" t="s">
        <v>7</v>
      </c>
      <c r="D500" s="5" t="s">
        <v>715</v>
      </c>
      <c r="E500" s="19">
        <v>0</v>
      </c>
      <c r="F500" s="19">
        <v>0</v>
      </c>
      <c r="G500" s="19">
        <v>0</v>
      </c>
      <c r="H500" s="19">
        <v>0</v>
      </c>
      <c r="I500" s="19">
        <v>1</v>
      </c>
      <c r="J500" s="19">
        <v>0</v>
      </c>
      <c r="K500" s="19">
        <f t="shared" si="21"/>
        <v>1</v>
      </c>
      <c r="L500" s="19">
        <v>1</v>
      </c>
      <c r="M500" s="19">
        <f t="shared" si="22"/>
        <v>0</v>
      </c>
      <c r="N500" s="19">
        <v>0</v>
      </c>
      <c r="O500" s="19">
        <f t="shared" si="23"/>
        <v>1</v>
      </c>
      <c r="P500" s="19">
        <v>0</v>
      </c>
      <c r="Q500" s="19">
        <v>0</v>
      </c>
      <c r="R500" s="19">
        <v>0</v>
      </c>
      <c r="S500" s="19">
        <v>1</v>
      </c>
      <c r="T500" s="19">
        <v>0</v>
      </c>
      <c r="U500" t="s">
        <v>774</v>
      </c>
      <c r="V500" s="19">
        <v>501</v>
      </c>
      <c r="W500" s="20">
        <v>0.24362898971894401</v>
      </c>
      <c r="X500" s="8"/>
    </row>
    <row r="501" spans="1:24" x14ac:dyDescent="0.25">
      <c r="A501" s="23" t="s">
        <v>1443</v>
      </c>
      <c r="B501" s="5" t="s">
        <v>775</v>
      </c>
      <c r="C501" s="5" t="s">
        <v>3</v>
      </c>
      <c r="D501" s="5" t="s">
        <v>775</v>
      </c>
      <c r="E501" s="6">
        <v>1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f t="shared" si="21"/>
        <v>0</v>
      </c>
      <c r="L501" s="6">
        <v>0</v>
      </c>
      <c r="M501" s="6">
        <f t="shared" si="22"/>
        <v>0</v>
      </c>
      <c r="N501" s="6">
        <v>0</v>
      </c>
      <c r="O501" s="6">
        <f t="shared" si="23"/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/>
      <c r="V501" s="6">
        <v>502</v>
      </c>
      <c r="W501" s="7">
        <v>3.0625993059692562</v>
      </c>
      <c r="X501" s="8"/>
    </row>
    <row r="502" spans="1:24" x14ac:dyDescent="0.25">
      <c r="A502" s="23" t="s">
        <v>1444</v>
      </c>
      <c r="B502" s="9" t="s">
        <v>776</v>
      </c>
      <c r="C502" s="9" t="s">
        <v>4</v>
      </c>
      <c r="D502" s="5" t="s">
        <v>775</v>
      </c>
      <c r="E502" s="10">
        <v>0</v>
      </c>
      <c r="F502" s="10">
        <v>1</v>
      </c>
      <c r="G502" s="10">
        <v>0</v>
      </c>
      <c r="H502" s="10">
        <v>0</v>
      </c>
      <c r="I502" s="10">
        <v>0</v>
      </c>
      <c r="J502" s="10">
        <v>0</v>
      </c>
      <c r="K502" s="10">
        <f t="shared" si="21"/>
        <v>0</v>
      </c>
      <c r="L502" s="10">
        <v>0</v>
      </c>
      <c r="M502" s="10">
        <f t="shared" si="22"/>
        <v>0</v>
      </c>
      <c r="N502" s="10">
        <v>0</v>
      </c>
      <c r="O502" s="10">
        <f t="shared" si="23"/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V502" s="10">
        <v>503</v>
      </c>
      <c r="W502" s="11">
        <v>1.0684802307721561</v>
      </c>
      <c r="X502" s="8"/>
    </row>
    <row r="503" spans="1:24" x14ac:dyDescent="0.25">
      <c r="A503" s="23" t="s">
        <v>1445</v>
      </c>
      <c r="B503" s="12" t="s">
        <v>777</v>
      </c>
      <c r="C503" s="12" t="s">
        <v>5</v>
      </c>
      <c r="D503" s="5" t="s">
        <v>775</v>
      </c>
      <c r="E503" s="13">
        <v>0</v>
      </c>
      <c r="F503" s="13">
        <v>0</v>
      </c>
      <c r="G503" s="13">
        <v>1</v>
      </c>
      <c r="H503" s="13">
        <v>0</v>
      </c>
      <c r="I503" s="13">
        <v>0</v>
      </c>
      <c r="J503" s="13">
        <v>0</v>
      </c>
      <c r="K503" s="13">
        <f t="shared" si="21"/>
        <v>0</v>
      </c>
      <c r="L503" s="13">
        <v>0</v>
      </c>
      <c r="M503" s="13">
        <f t="shared" si="22"/>
        <v>0</v>
      </c>
      <c r="N503" s="13">
        <v>0</v>
      </c>
      <c r="O503" s="13">
        <f t="shared" si="23"/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/>
      <c r="V503" s="13">
        <v>504</v>
      </c>
      <c r="W503" s="14">
        <v>1.0684802307721561</v>
      </c>
      <c r="X503" s="8"/>
    </row>
    <row r="504" spans="1:24" x14ac:dyDescent="0.25">
      <c r="A504" s="23" t="s">
        <v>1446</v>
      </c>
      <c r="B504" s="15" t="s">
        <v>778</v>
      </c>
      <c r="C504" s="15" t="s">
        <v>25</v>
      </c>
      <c r="D504" s="5" t="s">
        <v>775</v>
      </c>
      <c r="E504" s="16">
        <v>0</v>
      </c>
      <c r="F504" s="16">
        <v>0</v>
      </c>
      <c r="G504" s="16">
        <v>0</v>
      </c>
      <c r="H504" s="16">
        <v>1</v>
      </c>
      <c r="I504" s="16">
        <v>0</v>
      </c>
      <c r="J504" s="16">
        <v>0</v>
      </c>
      <c r="K504" s="16">
        <f t="shared" si="21"/>
        <v>0</v>
      </c>
      <c r="L504" s="16">
        <v>0</v>
      </c>
      <c r="M504" s="16">
        <f t="shared" si="22"/>
        <v>0</v>
      </c>
      <c r="N504" s="16">
        <v>0</v>
      </c>
      <c r="O504" s="16">
        <f t="shared" si="23"/>
        <v>0</v>
      </c>
      <c r="P504" s="16">
        <v>0</v>
      </c>
      <c r="Q504" s="16">
        <v>0</v>
      </c>
      <c r="R504" s="16">
        <v>0</v>
      </c>
      <c r="S504" s="16">
        <v>0</v>
      </c>
      <c r="T504" s="16">
        <v>0</v>
      </c>
      <c r="V504" s="16">
        <v>505</v>
      </c>
      <c r="W504" s="17">
        <v>0.30460603299872502</v>
      </c>
      <c r="X504" s="8"/>
    </row>
    <row r="505" spans="1:24" x14ac:dyDescent="0.25">
      <c r="A505" s="23" t="s">
        <v>1447</v>
      </c>
      <c r="B505" s="18" t="s">
        <v>778</v>
      </c>
      <c r="C505" s="18" t="s">
        <v>7</v>
      </c>
      <c r="D505" s="5" t="s">
        <v>775</v>
      </c>
      <c r="E505" s="19">
        <v>0</v>
      </c>
      <c r="F505" s="19">
        <v>0</v>
      </c>
      <c r="G505" s="19">
        <v>0</v>
      </c>
      <c r="H505" s="19">
        <v>0</v>
      </c>
      <c r="I505" s="19">
        <v>1</v>
      </c>
      <c r="J505" s="19">
        <v>1</v>
      </c>
      <c r="K505" s="19">
        <f t="shared" si="21"/>
        <v>0</v>
      </c>
      <c r="L505" s="19">
        <v>0</v>
      </c>
      <c r="M505" s="19">
        <f t="shared" si="22"/>
        <v>1</v>
      </c>
      <c r="N505" s="19">
        <v>0</v>
      </c>
      <c r="O505" s="19">
        <f t="shared" si="23"/>
        <v>1</v>
      </c>
      <c r="P505" s="19">
        <v>0</v>
      </c>
      <c r="Q505" s="19">
        <v>0</v>
      </c>
      <c r="R505" s="19">
        <v>0</v>
      </c>
      <c r="S505" s="19">
        <v>1</v>
      </c>
      <c r="T505" s="19">
        <v>0</v>
      </c>
      <c r="U505" t="s">
        <v>779</v>
      </c>
      <c r="V505" s="19">
        <v>506</v>
      </c>
      <c r="W505" s="20">
        <v>0.30460603299872502</v>
      </c>
      <c r="X505" s="8"/>
    </row>
    <row r="506" spans="1:24" x14ac:dyDescent="0.25">
      <c r="A506" s="23" t="s">
        <v>1448</v>
      </c>
      <c r="B506" s="15" t="s">
        <v>780</v>
      </c>
      <c r="C506" s="15" t="s">
        <v>25</v>
      </c>
      <c r="D506" s="5" t="s">
        <v>775</v>
      </c>
      <c r="E506" s="16">
        <v>0</v>
      </c>
      <c r="F506" s="16">
        <v>0</v>
      </c>
      <c r="G506" s="16">
        <v>0</v>
      </c>
      <c r="H506" s="16">
        <v>1</v>
      </c>
      <c r="I506" s="16">
        <v>0</v>
      </c>
      <c r="J506" s="16">
        <v>0</v>
      </c>
      <c r="K506" s="16">
        <f t="shared" si="21"/>
        <v>0</v>
      </c>
      <c r="L506" s="16">
        <v>0</v>
      </c>
      <c r="M506" s="16">
        <f t="shared" si="22"/>
        <v>0</v>
      </c>
      <c r="N506" s="16">
        <v>0</v>
      </c>
      <c r="O506" s="16">
        <f t="shared" si="23"/>
        <v>0</v>
      </c>
      <c r="P506" s="16">
        <v>0</v>
      </c>
      <c r="Q506" s="16">
        <v>0</v>
      </c>
      <c r="R506" s="16">
        <v>0</v>
      </c>
      <c r="S506" s="16">
        <v>0</v>
      </c>
      <c r="T506" s="16">
        <v>0</v>
      </c>
      <c r="V506" s="16">
        <v>507</v>
      </c>
      <c r="W506" s="17">
        <v>0.76387419777343102</v>
      </c>
      <c r="X506" s="8"/>
    </row>
    <row r="507" spans="1:24" x14ac:dyDescent="0.25">
      <c r="A507" s="23" t="s">
        <v>1449</v>
      </c>
      <c r="B507" s="18" t="s">
        <v>780</v>
      </c>
      <c r="C507" s="18" t="s">
        <v>7</v>
      </c>
      <c r="D507" s="5" t="s">
        <v>775</v>
      </c>
      <c r="E507" s="19">
        <v>0</v>
      </c>
      <c r="F507" s="19">
        <v>0</v>
      </c>
      <c r="G507" s="19">
        <v>0</v>
      </c>
      <c r="H507" s="19">
        <v>0</v>
      </c>
      <c r="I507" s="19">
        <v>1</v>
      </c>
      <c r="J507" s="19">
        <v>1</v>
      </c>
      <c r="K507" s="19">
        <f t="shared" si="21"/>
        <v>0</v>
      </c>
      <c r="L507" s="19">
        <v>0</v>
      </c>
      <c r="M507" s="19">
        <f t="shared" si="22"/>
        <v>1</v>
      </c>
      <c r="N507" s="19">
        <v>0</v>
      </c>
      <c r="O507" s="19">
        <f t="shared" si="23"/>
        <v>1</v>
      </c>
      <c r="P507" s="19">
        <v>0</v>
      </c>
      <c r="Q507" s="19">
        <v>0</v>
      </c>
      <c r="R507" s="19">
        <v>0</v>
      </c>
      <c r="S507" s="19">
        <v>1</v>
      </c>
      <c r="T507" s="19">
        <v>0</v>
      </c>
      <c r="U507" t="s">
        <v>781</v>
      </c>
      <c r="V507" s="19">
        <v>508</v>
      </c>
      <c r="W507" s="20">
        <v>0.76387419777343102</v>
      </c>
      <c r="X507" s="8"/>
    </row>
    <row r="508" spans="1:24" x14ac:dyDescent="0.25">
      <c r="A508" s="23" t="s">
        <v>1450</v>
      </c>
      <c r="B508" s="9" t="s">
        <v>782</v>
      </c>
      <c r="C508" s="9" t="s">
        <v>4</v>
      </c>
      <c r="D508" s="5" t="s">
        <v>775</v>
      </c>
      <c r="E508" s="10">
        <v>0</v>
      </c>
      <c r="F508" s="10">
        <v>1</v>
      </c>
      <c r="G508" s="10">
        <v>0</v>
      </c>
      <c r="H508" s="10">
        <v>0</v>
      </c>
      <c r="I508" s="10">
        <v>0</v>
      </c>
      <c r="J508" s="10">
        <v>0</v>
      </c>
      <c r="K508" s="10">
        <f t="shared" si="21"/>
        <v>0</v>
      </c>
      <c r="L508" s="10">
        <v>0</v>
      </c>
      <c r="M508" s="10">
        <f t="shared" si="22"/>
        <v>0</v>
      </c>
      <c r="N508" s="10">
        <v>0</v>
      </c>
      <c r="O508" s="10">
        <f t="shared" si="23"/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V508" s="10">
        <v>509</v>
      </c>
      <c r="W508" s="11">
        <v>0.426189389009964</v>
      </c>
      <c r="X508" s="8"/>
    </row>
    <row r="509" spans="1:24" x14ac:dyDescent="0.25">
      <c r="A509" s="23" t="s">
        <v>1451</v>
      </c>
      <c r="B509" s="12" t="s">
        <v>783</v>
      </c>
      <c r="C509" s="12" t="s">
        <v>5</v>
      </c>
      <c r="D509" s="5" t="s">
        <v>775</v>
      </c>
      <c r="E509" s="13">
        <v>0</v>
      </c>
      <c r="F509" s="13">
        <v>0</v>
      </c>
      <c r="G509" s="13">
        <v>1</v>
      </c>
      <c r="H509" s="13">
        <v>0</v>
      </c>
      <c r="I509" s="13">
        <v>0</v>
      </c>
      <c r="J509" s="13">
        <v>0</v>
      </c>
      <c r="K509" s="13">
        <f t="shared" si="21"/>
        <v>0</v>
      </c>
      <c r="L509" s="13">
        <v>0</v>
      </c>
      <c r="M509" s="13">
        <f t="shared" si="22"/>
        <v>0</v>
      </c>
      <c r="N509" s="13">
        <v>0</v>
      </c>
      <c r="O509" s="13">
        <f t="shared" si="23"/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V509" s="13">
        <v>510</v>
      </c>
      <c r="W509" s="14">
        <v>0.426189389009964</v>
      </c>
      <c r="X509" s="8"/>
    </row>
    <row r="510" spans="1:24" x14ac:dyDescent="0.25">
      <c r="A510" s="23" t="s">
        <v>1452</v>
      </c>
      <c r="B510" s="15" t="s">
        <v>783</v>
      </c>
      <c r="C510" s="15" t="s">
        <v>25</v>
      </c>
      <c r="D510" s="5" t="s">
        <v>775</v>
      </c>
      <c r="E510" s="16">
        <v>0</v>
      </c>
      <c r="F510" s="16">
        <v>0</v>
      </c>
      <c r="G510" s="16">
        <v>0</v>
      </c>
      <c r="H510" s="16">
        <v>1</v>
      </c>
      <c r="I510" s="16">
        <v>0</v>
      </c>
      <c r="J510" s="16">
        <v>0</v>
      </c>
      <c r="K510" s="16">
        <f t="shared" si="21"/>
        <v>0</v>
      </c>
      <c r="L510" s="16">
        <v>0</v>
      </c>
      <c r="M510" s="16">
        <f t="shared" si="22"/>
        <v>0</v>
      </c>
      <c r="N510" s="16">
        <v>0</v>
      </c>
      <c r="O510" s="16">
        <f t="shared" si="23"/>
        <v>0</v>
      </c>
      <c r="P510" s="16">
        <v>0</v>
      </c>
      <c r="Q510" s="16">
        <v>0</v>
      </c>
      <c r="R510" s="16">
        <v>0</v>
      </c>
      <c r="S510" s="16">
        <v>0</v>
      </c>
      <c r="T510" s="16">
        <v>0</v>
      </c>
      <c r="V510" s="16">
        <v>511</v>
      </c>
      <c r="W510" s="17">
        <v>0.426189389009964</v>
      </c>
      <c r="X510" s="8"/>
    </row>
    <row r="511" spans="1:24" x14ac:dyDescent="0.25">
      <c r="A511" s="23" t="s">
        <v>1453</v>
      </c>
      <c r="B511" s="18" t="s">
        <v>783</v>
      </c>
      <c r="C511" s="18" t="s">
        <v>7</v>
      </c>
      <c r="D511" s="5" t="s">
        <v>775</v>
      </c>
      <c r="E511" s="19">
        <v>0</v>
      </c>
      <c r="F511" s="19">
        <v>0</v>
      </c>
      <c r="G511" s="19">
        <v>0</v>
      </c>
      <c r="H511" s="19">
        <v>0</v>
      </c>
      <c r="I511" s="19">
        <v>1</v>
      </c>
      <c r="J511" s="19">
        <v>1</v>
      </c>
      <c r="K511" s="19">
        <f t="shared" si="21"/>
        <v>0</v>
      </c>
      <c r="L511" s="19">
        <v>0</v>
      </c>
      <c r="M511" s="19">
        <f t="shared" si="22"/>
        <v>1</v>
      </c>
      <c r="N511" s="19">
        <v>0</v>
      </c>
      <c r="O511" s="19">
        <f t="shared" si="23"/>
        <v>1</v>
      </c>
      <c r="P511" s="19">
        <v>0</v>
      </c>
      <c r="Q511" s="19">
        <v>0</v>
      </c>
      <c r="R511" s="19">
        <v>0</v>
      </c>
      <c r="S511" s="19">
        <v>1</v>
      </c>
      <c r="T511" s="19">
        <v>0</v>
      </c>
      <c r="U511" t="s">
        <v>784</v>
      </c>
      <c r="V511" s="19">
        <v>512</v>
      </c>
      <c r="W511" s="20">
        <v>0.426189389009964</v>
      </c>
      <c r="X511" s="8"/>
    </row>
    <row r="512" spans="1:24" x14ac:dyDescent="0.25">
      <c r="A512" s="23" t="s">
        <v>1454</v>
      </c>
      <c r="B512" s="9" t="s">
        <v>785</v>
      </c>
      <c r="C512" s="9" t="s">
        <v>4</v>
      </c>
      <c r="D512" s="5" t="s">
        <v>775</v>
      </c>
      <c r="E512" s="10">
        <v>0</v>
      </c>
      <c r="F512" s="10">
        <v>1</v>
      </c>
      <c r="G512" s="10">
        <v>0</v>
      </c>
      <c r="H512" s="10">
        <v>0</v>
      </c>
      <c r="I512" s="10">
        <v>0</v>
      </c>
      <c r="J512" s="10">
        <v>0</v>
      </c>
      <c r="K512" s="10">
        <f t="shared" si="21"/>
        <v>0</v>
      </c>
      <c r="L512" s="10">
        <v>0</v>
      </c>
      <c r="M512" s="10">
        <f t="shared" si="22"/>
        <v>0</v>
      </c>
      <c r="N512" s="10">
        <v>0</v>
      </c>
      <c r="O512" s="10">
        <f t="shared" si="23"/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V512" s="10">
        <v>513</v>
      </c>
      <c r="W512" s="11">
        <v>1.3446511887065999</v>
      </c>
      <c r="X512" s="8"/>
    </row>
    <row r="513" spans="1:24" x14ac:dyDescent="0.25">
      <c r="A513" s="23" t="s">
        <v>1455</v>
      </c>
      <c r="B513" s="12" t="s">
        <v>786</v>
      </c>
      <c r="C513" s="12" t="s">
        <v>5</v>
      </c>
      <c r="D513" s="5" t="s">
        <v>775</v>
      </c>
      <c r="E513" s="13">
        <v>0</v>
      </c>
      <c r="F513" s="13">
        <v>0</v>
      </c>
      <c r="G513" s="13">
        <v>1</v>
      </c>
      <c r="H513" s="13">
        <v>0</v>
      </c>
      <c r="I513" s="13">
        <v>0</v>
      </c>
      <c r="J513" s="13">
        <v>0</v>
      </c>
      <c r="K513" s="13">
        <f t="shared" ref="K513:K576" si="24">IF(I513=1,IF(J513=1,0,1),0)</f>
        <v>0</v>
      </c>
      <c r="L513" s="13">
        <v>0</v>
      </c>
      <c r="M513" s="13">
        <f t="shared" ref="M513:M576" si="25">IF(I513=1,IF(L513=1,0,1),0)</f>
        <v>0</v>
      </c>
      <c r="N513" s="13">
        <v>0</v>
      </c>
      <c r="O513" s="13">
        <f t="shared" ref="O513:O576" si="26">IF(I513=1,IF(N513=1,0,1),0)</f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V513" s="13">
        <v>514</v>
      </c>
      <c r="W513" s="14">
        <v>1.3446511887065999</v>
      </c>
      <c r="X513" s="8"/>
    </row>
    <row r="514" spans="1:24" x14ac:dyDescent="0.25">
      <c r="A514" s="23" t="s">
        <v>1456</v>
      </c>
      <c r="B514" s="15" t="s">
        <v>787</v>
      </c>
      <c r="C514" s="15" t="s">
        <v>25</v>
      </c>
      <c r="D514" s="5" t="s">
        <v>775</v>
      </c>
      <c r="E514" s="16">
        <v>0</v>
      </c>
      <c r="F514" s="16">
        <v>0</v>
      </c>
      <c r="G514" s="16">
        <v>0</v>
      </c>
      <c r="H514" s="16">
        <v>1</v>
      </c>
      <c r="I514" s="16">
        <v>0</v>
      </c>
      <c r="J514" s="16">
        <v>0</v>
      </c>
      <c r="K514" s="16">
        <f t="shared" si="24"/>
        <v>0</v>
      </c>
      <c r="L514" s="16">
        <v>0</v>
      </c>
      <c r="M514" s="16">
        <f t="shared" si="25"/>
        <v>0</v>
      </c>
      <c r="N514" s="16">
        <v>0</v>
      </c>
      <c r="O514" s="16">
        <f t="shared" si="26"/>
        <v>0</v>
      </c>
      <c r="P514" s="16">
        <v>0</v>
      </c>
      <c r="Q514" s="16">
        <v>0</v>
      </c>
      <c r="R514" s="16">
        <v>0</v>
      </c>
      <c r="S514" s="16">
        <v>0</v>
      </c>
      <c r="T514" s="16">
        <v>0</v>
      </c>
      <c r="U514"/>
      <c r="V514" s="16">
        <v>515</v>
      </c>
      <c r="W514" s="17">
        <v>1.3446511887065999</v>
      </c>
      <c r="X514" s="8"/>
    </row>
    <row r="515" spans="1:24" x14ac:dyDescent="0.25">
      <c r="A515" s="23" t="s">
        <v>1457</v>
      </c>
      <c r="B515" s="18" t="s">
        <v>787</v>
      </c>
      <c r="C515" s="18" t="s">
        <v>7</v>
      </c>
      <c r="D515" s="5" t="s">
        <v>775</v>
      </c>
      <c r="E515" s="19">
        <v>0</v>
      </c>
      <c r="F515" s="19">
        <v>0</v>
      </c>
      <c r="G515" s="19">
        <v>0</v>
      </c>
      <c r="H515" s="19">
        <v>0</v>
      </c>
      <c r="I515" s="19">
        <v>1</v>
      </c>
      <c r="J515" s="19">
        <v>1</v>
      </c>
      <c r="K515" s="19">
        <f t="shared" si="24"/>
        <v>0</v>
      </c>
      <c r="L515" s="19">
        <v>0</v>
      </c>
      <c r="M515" s="19">
        <f t="shared" si="25"/>
        <v>1</v>
      </c>
      <c r="N515" s="19">
        <v>0</v>
      </c>
      <c r="O515" s="19">
        <f t="shared" si="26"/>
        <v>1</v>
      </c>
      <c r="P515" s="19">
        <v>0</v>
      </c>
      <c r="Q515" s="19">
        <v>0</v>
      </c>
      <c r="R515" s="19">
        <v>0</v>
      </c>
      <c r="S515" s="19">
        <v>1</v>
      </c>
      <c r="T515" s="19">
        <v>0</v>
      </c>
      <c r="U515" t="s">
        <v>788</v>
      </c>
      <c r="V515" s="19">
        <v>516</v>
      </c>
      <c r="W515" s="20">
        <v>1.3446511887065999</v>
      </c>
      <c r="X515" s="8"/>
    </row>
    <row r="516" spans="1:24" x14ac:dyDescent="0.25">
      <c r="A516" s="23" t="s">
        <v>1458</v>
      </c>
      <c r="B516" s="9" t="s">
        <v>789</v>
      </c>
      <c r="C516" s="9" t="s">
        <v>4</v>
      </c>
      <c r="D516" s="5" t="s">
        <v>775</v>
      </c>
      <c r="E516" s="10">
        <v>0</v>
      </c>
      <c r="F516" s="10">
        <v>1</v>
      </c>
      <c r="G516" s="10">
        <v>0</v>
      </c>
      <c r="H516" s="10">
        <v>0</v>
      </c>
      <c r="I516" s="10">
        <v>0</v>
      </c>
      <c r="J516" s="10">
        <v>0</v>
      </c>
      <c r="K516" s="10">
        <f t="shared" si="24"/>
        <v>0</v>
      </c>
      <c r="L516" s="10">
        <v>0</v>
      </c>
      <c r="M516" s="10">
        <f t="shared" si="25"/>
        <v>0</v>
      </c>
      <c r="N516" s="10">
        <v>0</v>
      </c>
      <c r="O516" s="10">
        <f t="shared" si="26"/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/>
      <c r="V516" s="10">
        <v>517</v>
      </c>
      <c r="W516" s="11">
        <v>0.22327849748053599</v>
      </c>
      <c r="X516" s="8"/>
    </row>
    <row r="517" spans="1:24" x14ac:dyDescent="0.25">
      <c r="A517" s="23" t="s">
        <v>1459</v>
      </c>
      <c r="B517" s="12" t="s">
        <v>790</v>
      </c>
      <c r="C517" s="12" t="s">
        <v>5</v>
      </c>
      <c r="D517" s="5" t="s">
        <v>775</v>
      </c>
      <c r="E517" s="13">
        <v>0</v>
      </c>
      <c r="F517" s="13">
        <v>0</v>
      </c>
      <c r="G517" s="13">
        <v>1</v>
      </c>
      <c r="H517" s="13">
        <v>0</v>
      </c>
      <c r="I517" s="13">
        <v>0</v>
      </c>
      <c r="J517" s="13">
        <v>0</v>
      </c>
      <c r="K517" s="13">
        <f t="shared" si="24"/>
        <v>0</v>
      </c>
      <c r="L517" s="13">
        <v>0</v>
      </c>
      <c r="M517" s="13">
        <f t="shared" si="25"/>
        <v>0</v>
      </c>
      <c r="N517" s="13">
        <v>0</v>
      </c>
      <c r="O517" s="13">
        <f t="shared" si="26"/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V517" s="13">
        <v>518</v>
      </c>
      <c r="W517" s="14">
        <v>0.22327849748053599</v>
      </c>
      <c r="X517" s="8"/>
    </row>
    <row r="518" spans="1:24" x14ac:dyDescent="0.25">
      <c r="A518" s="23" t="s">
        <v>1460</v>
      </c>
      <c r="B518" s="15" t="s">
        <v>790</v>
      </c>
      <c r="C518" s="15" t="s">
        <v>25</v>
      </c>
      <c r="D518" s="5" t="s">
        <v>775</v>
      </c>
      <c r="E518" s="16">
        <v>0</v>
      </c>
      <c r="F518" s="16">
        <v>0</v>
      </c>
      <c r="G518" s="16">
        <v>0</v>
      </c>
      <c r="H518" s="16">
        <v>1</v>
      </c>
      <c r="I518" s="16">
        <v>0</v>
      </c>
      <c r="J518" s="16">
        <v>0</v>
      </c>
      <c r="K518" s="16">
        <f t="shared" si="24"/>
        <v>0</v>
      </c>
      <c r="L518" s="16">
        <v>0</v>
      </c>
      <c r="M518" s="16">
        <f t="shared" si="25"/>
        <v>0</v>
      </c>
      <c r="N518" s="16">
        <v>0</v>
      </c>
      <c r="O518" s="16">
        <f t="shared" si="26"/>
        <v>0</v>
      </c>
      <c r="P518" s="16">
        <v>0</v>
      </c>
      <c r="Q518" s="16">
        <v>0</v>
      </c>
      <c r="R518" s="16">
        <v>0</v>
      </c>
      <c r="S518" s="16">
        <v>0</v>
      </c>
      <c r="T518" s="16">
        <v>0</v>
      </c>
      <c r="V518" s="16">
        <v>519</v>
      </c>
      <c r="W518" s="17">
        <v>0.22327849748053599</v>
      </c>
      <c r="X518" s="8"/>
    </row>
    <row r="519" spans="1:24" x14ac:dyDescent="0.25">
      <c r="A519" s="23" t="s">
        <v>1461</v>
      </c>
      <c r="B519" s="18" t="s">
        <v>791</v>
      </c>
      <c r="C519" s="18" t="s">
        <v>7</v>
      </c>
      <c r="D519" s="5" t="s">
        <v>775</v>
      </c>
      <c r="E519" s="19">
        <v>0</v>
      </c>
      <c r="F519" s="19">
        <v>0</v>
      </c>
      <c r="G519" s="19">
        <v>0</v>
      </c>
      <c r="H519" s="19">
        <v>0</v>
      </c>
      <c r="I519" s="19">
        <v>1</v>
      </c>
      <c r="J519" s="19">
        <v>1</v>
      </c>
      <c r="K519" s="19">
        <f t="shared" si="24"/>
        <v>0</v>
      </c>
      <c r="L519" s="19">
        <v>0</v>
      </c>
      <c r="M519" s="19">
        <f t="shared" si="25"/>
        <v>1</v>
      </c>
      <c r="N519" s="19">
        <v>0</v>
      </c>
      <c r="O519" s="19">
        <f t="shared" si="26"/>
        <v>1</v>
      </c>
      <c r="P519" s="19">
        <v>0</v>
      </c>
      <c r="Q519" s="19">
        <v>0</v>
      </c>
      <c r="R519" s="19">
        <v>0</v>
      </c>
      <c r="S519" s="19">
        <v>1</v>
      </c>
      <c r="T519" s="19">
        <v>0</v>
      </c>
      <c r="U519" t="s">
        <v>792</v>
      </c>
      <c r="V519" s="19">
        <v>520</v>
      </c>
      <c r="W519" s="20">
        <v>0.22327849748053599</v>
      </c>
      <c r="X519" s="8"/>
    </row>
    <row r="520" spans="1:24" x14ac:dyDescent="0.25">
      <c r="A520" s="23" t="s">
        <v>1462</v>
      </c>
      <c r="B520" s="5" t="s">
        <v>793</v>
      </c>
      <c r="C520" s="5" t="s">
        <v>3</v>
      </c>
      <c r="D520" s="5" t="s">
        <v>793</v>
      </c>
      <c r="E520" s="6">
        <v>1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f t="shared" si="24"/>
        <v>0</v>
      </c>
      <c r="L520" s="6">
        <v>0</v>
      </c>
      <c r="M520" s="6">
        <f t="shared" si="25"/>
        <v>0</v>
      </c>
      <c r="N520" s="6">
        <v>0</v>
      </c>
      <c r="O520" s="6">
        <f t="shared" si="26"/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V520" s="6">
        <v>521</v>
      </c>
      <c r="W520" s="7">
        <v>8.6166370740303204</v>
      </c>
      <c r="X520" s="8"/>
    </row>
    <row r="521" spans="1:24" x14ac:dyDescent="0.25">
      <c r="A521" s="23" t="s">
        <v>1463</v>
      </c>
      <c r="B521" s="9" t="s">
        <v>794</v>
      </c>
      <c r="C521" s="9" t="s">
        <v>4</v>
      </c>
      <c r="D521" s="5" t="s">
        <v>793</v>
      </c>
      <c r="E521" s="10">
        <v>0</v>
      </c>
      <c r="F521" s="10">
        <v>1</v>
      </c>
      <c r="G521" s="10">
        <v>0</v>
      </c>
      <c r="H521" s="10">
        <v>0</v>
      </c>
      <c r="I521" s="10">
        <v>0</v>
      </c>
      <c r="J521" s="10">
        <v>0</v>
      </c>
      <c r="K521" s="10">
        <f t="shared" si="24"/>
        <v>0</v>
      </c>
      <c r="L521" s="10">
        <v>0</v>
      </c>
      <c r="M521" s="10">
        <f t="shared" si="25"/>
        <v>0</v>
      </c>
      <c r="N521" s="10">
        <v>0</v>
      </c>
      <c r="O521" s="10">
        <f t="shared" si="26"/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/>
      <c r="V521" s="10">
        <v>522</v>
      </c>
      <c r="W521" s="11">
        <v>8.5719378090812057</v>
      </c>
      <c r="X521" s="8"/>
    </row>
    <row r="522" spans="1:24" x14ac:dyDescent="0.25">
      <c r="A522" s="23" t="s">
        <v>1464</v>
      </c>
      <c r="B522" s="12" t="s">
        <v>795</v>
      </c>
      <c r="C522" s="12" t="s">
        <v>5</v>
      </c>
      <c r="D522" s="5" t="s">
        <v>793</v>
      </c>
      <c r="E522" s="13">
        <v>0</v>
      </c>
      <c r="F522" s="13">
        <v>0</v>
      </c>
      <c r="G522" s="13">
        <v>1</v>
      </c>
      <c r="H522" s="13">
        <v>0</v>
      </c>
      <c r="I522" s="13">
        <v>0</v>
      </c>
      <c r="J522" s="13">
        <v>0</v>
      </c>
      <c r="K522" s="13">
        <f t="shared" si="24"/>
        <v>0</v>
      </c>
      <c r="L522" s="13">
        <v>0</v>
      </c>
      <c r="M522" s="13">
        <f t="shared" si="25"/>
        <v>0</v>
      </c>
      <c r="N522" s="13">
        <v>0</v>
      </c>
      <c r="O522" s="13">
        <f t="shared" si="26"/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V522" s="13">
        <v>523</v>
      </c>
      <c r="W522" s="14">
        <v>8.5719378090812057</v>
      </c>
      <c r="X522" s="8"/>
    </row>
    <row r="523" spans="1:24" x14ac:dyDescent="0.25">
      <c r="A523" s="23" t="s">
        <v>1465</v>
      </c>
      <c r="B523" s="15" t="s">
        <v>796</v>
      </c>
      <c r="C523" s="15" t="s">
        <v>25</v>
      </c>
      <c r="D523" s="5" t="s">
        <v>793</v>
      </c>
      <c r="E523" s="16">
        <v>0</v>
      </c>
      <c r="F523" s="16">
        <v>0</v>
      </c>
      <c r="G523" s="16">
        <v>0</v>
      </c>
      <c r="H523" s="16">
        <v>1</v>
      </c>
      <c r="I523" s="16">
        <v>0</v>
      </c>
      <c r="J523" s="16">
        <v>0</v>
      </c>
      <c r="K523" s="16">
        <f t="shared" si="24"/>
        <v>0</v>
      </c>
      <c r="L523" s="16">
        <v>0</v>
      </c>
      <c r="M523" s="16">
        <f t="shared" si="25"/>
        <v>0</v>
      </c>
      <c r="N523" s="16">
        <v>0</v>
      </c>
      <c r="O523" s="16">
        <f t="shared" si="26"/>
        <v>0</v>
      </c>
      <c r="P523" s="16">
        <v>0</v>
      </c>
      <c r="Q523" s="16">
        <v>0</v>
      </c>
      <c r="R523" s="16">
        <v>0</v>
      </c>
      <c r="S523" s="16">
        <v>0</v>
      </c>
      <c r="T523" s="16">
        <v>0</v>
      </c>
      <c r="U523"/>
      <c r="V523" s="16">
        <v>524</v>
      </c>
      <c r="W523" s="17">
        <v>7.8485218173215623</v>
      </c>
      <c r="X523" s="8"/>
    </row>
    <row r="524" spans="1:24" x14ac:dyDescent="0.25">
      <c r="A524" s="23" t="s">
        <v>1466</v>
      </c>
      <c r="B524" s="18" t="s">
        <v>797</v>
      </c>
      <c r="C524" s="18" t="s">
        <v>7</v>
      </c>
      <c r="D524" s="5" t="s">
        <v>793</v>
      </c>
      <c r="E524" s="19">
        <v>0</v>
      </c>
      <c r="F524" s="19">
        <v>0</v>
      </c>
      <c r="G524" s="19">
        <v>0</v>
      </c>
      <c r="H524" s="19">
        <v>0</v>
      </c>
      <c r="I524" s="19">
        <v>1</v>
      </c>
      <c r="J524" s="19">
        <v>1</v>
      </c>
      <c r="K524" s="19">
        <f t="shared" si="24"/>
        <v>0</v>
      </c>
      <c r="L524" s="19">
        <v>0</v>
      </c>
      <c r="M524" s="19">
        <f t="shared" si="25"/>
        <v>1</v>
      </c>
      <c r="N524" s="19">
        <v>0</v>
      </c>
      <c r="O524" s="19">
        <f t="shared" si="26"/>
        <v>1</v>
      </c>
      <c r="P524" s="19">
        <v>0</v>
      </c>
      <c r="Q524" s="19">
        <v>0</v>
      </c>
      <c r="R524" s="19">
        <v>0</v>
      </c>
      <c r="S524" s="19">
        <v>1</v>
      </c>
      <c r="T524" s="19">
        <v>0</v>
      </c>
      <c r="U524" t="s">
        <v>798</v>
      </c>
      <c r="V524" s="19">
        <v>525</v>
      </c>
      <c r="W524" s="20">
        <v>3.8984806494773601</v>
      </c>
      <c r="X524" s="8"/>
    </row>
    <row r="525" spans="1:24" x14ac:dyDescent="0.25">
      <c r="A525" s="23" t="s">
        <v>1467</v>
      </c>
      <c r="B525" s="18" t="s">
        <v>799</v>
      </c>
      <c r="C525" s="18" t="s">
        <v>7</v>
      </c>
      <c r="D525" s="5" t="s">
        <v>793</v>
      </c>
      <c r="E525" s="19">
        <v>0</v>
      </c>
      <c r="F525" s="19">
        <v>0</v>
      </c>
      <c r="G525" s="19">
        <v>0</v>
      </c>
      <c r="H525" s="19">
        <v>0</v>
      </c>
      <c r="I525" s="19">
        <v>1</v>
      </c>
      <c r="J525" s="19">
        <v>1</v>
      </c>
      <c r="K525" s="19">
        <f t="shared" si="24"/>
        <v>0</v>
      </c>
      <c r="L525" s="19">
        <v>0</v>
      </c>
      <c r="M525" s="19">
        <f t="shared" si="25"/>
        <v>1</v>
      </c>
      <c r="N525" s="19">
        <v>0</v>
      </c>
      <c r="O525" s="19">
        <f t="shared" si="26"/>
        <v>1</v>
      </c>
      <c r="P525" s="19">
        <v>0</v>
      </c>
      <c r="Q525" s="19">
        <v>0</v>
      </c>
      <c r="R525" s="19">
        <v>0</v>
      </c>
      <c r="S525" s="19">
        <v>1</v>
      </c>
      <c r="T525" s="19">
        <v>0</v>
      </c>
      <c r="U525" t="s">
        <v>800</v>
      </c>
      <c r="V525" s="19">
        <v>526</v>
      </c>
      <c r="W525" s="20">
        <v>1.4353238492258</v>
      </c>
      <c r="X525" s="8"/>
    </row>
    <row r="526" spans="1:24" x14ac:dyDescent="0.25">
      <c r="A526" s="23" t="s">
        <v>1468</v>
      </c>
      <c r="B526" s="18" t="s">
        <v>801</v>
      </c>
      <c r="C526" s="18" t="s">
        <v>7</v>
      </c>
      <c r="D526" s="5" t="s">
        <v>793</v>
      </c>
      <c r="E526" s="19">
        <v>0</v>
      </c>
      <c r="F526" s="19">
        <v>0</v>
      </c>
      <c r="G526" s="19">
        <v>0</v>
      </c>
      <c r="H526" s="19">
        <v>0</v>
      </c>
      <c r="I526" s="19">
        <v>1</v>
      </c>
      <c r="J526" s="19">
        <v>1</v>
      </c>
      <c r="K526" s="19">
        <f t="shared" si="24"/>
        <v>0</v>
      </c>
      <c r="L526" s="19">
        <v>0</v>
      </c>
      <c r="M526" s="19">
        <f t="shared" si="25"/>
        <v>1</v>
      </c>
      <c r="N526" s="19">
        <v>0</v>
      </c>
      <c r="O526" s="19">
        <f t="shared" si="26"/>
        <v>1</v>
      </c>
      <c r="P526" s="19">
        <v>0</v>
      </c>
      <c r="Q526" s="19">
        <v>0</v>
      </c>
      <c r="R526" s="19">
        <v>0</v>
      </c>
      <c r="S526" s="19">
        <v>1</v>
      </c>
      <c r="T526" s="19">
        <v>0</v>
      </c>
      <c r="U526" t="s">
        <v>802</v>
      </c>
      <c r="V526" s="19">
        <v>527</v>
      </c>
      <c r="W526" s="20">
        <v>1.0906190328140599</v>
      </c>
      <c r="X526" s="8"/>
    </row>
    <row r="527" spans="1:24" x14ac:dyDescent="0.25">
      <c r="A527" s="23" t="s">
        <v>1469</v>
      </c>
      <c r="B527" s="18" t="s">
        <v>803</v>
      </c>
      <c r="C527" s="18" t="s">
        <v>7</v>
      </c>
      <c r="D527" s="5" t="s">
        <v>793</v>
      </c>
      <c r="E527" s="19">
        <v>0</v>
      </c>
      <c r="F527" s="19">
        <v>0</v>
      </c>
      <c r="G527" s="19">
        <v>0</v>
      </c>
      <c r="H527" s="19">
        <v>0</v>
      </c>
      <c r="I527" s="19">
        <v>1</v>
      </c>
      <c r="J527" s="19">
        <v>1</v>
      </c>
      <c r="K527" s="19">
        <f t="shared" si="24"/>
        <v>0</v>
      </c>
      <c r="L527" s="19">
        <v>0</v>
      </c>
      <c r="M527" s="19">
        <f t="shared" si="25"/>
        <v>1</v>
      </c>
      <c r="N527" s="19">
        <v>0</v>
      </c>
      <c r="O527" s="19">
        <f t="shared" si="26"/>
        <v>1</v>
      </c>
      <c r="P527" s="19">
        <v>0</v>
      </c>
      <c r="Q527" s="19">
        <v>0</v>
      </c>
      <c r="R527" s="19">
        <v>0</v>
      </c>
      <c r="S527" s="19">
        <v>1</v>
      </c>
      <c r="T527" s="19">
        <v>0</v>
      </c>
      <c r="U527" t="s">
        <v>804</v>
      </c>
      <c r="V527" s="19">
        <v>528</v>
      </c>
      <c r="W527" s="20">
        <v>0.49074350580103498</v>
      </c>
      <c r="X527" s="8"/>
    </row>
    <row r="528" spans="1:24" x14ac:dyDescent="0.25">
      <c r="A528" s="23" t="s">
        <v>1470</v>
      </c>
      <c r="B528" s="18" t="s">
        <v>805</v>
      </c>
      <c r="C528" s="18" t="s">
        <v>7</v>
      </c>
      <c r="D528" s="5" t="s">
        <v>793</v>
      </c>
      <c r="E528" s="19">
        <v>0</v>
      </c>
      <c r="F528" s="19">
        <v>0</v>
      </c>
      <c r="G528" s="19">
        <v>0</v>
      </c>
      <c r="H528" s="19">
        <v>0</v>
      </c>
      <c r="I528" s="19">
        <v>1</v>
      </c>
      <c r="J528" s="19">
        <v>1</v>
      </c>
      <c r="K528" s="19">
        <f t="shared" si="24"/>
        <v>0</v>
      </c>
      <c r="L528" s="19">
        <v>0</v>
      </c>
      <c r="M528" s="19">
        <f t="shared" si="25"/>
        <v>1</v>
      </c>
      <c r="N528" s="19">
        <v>0</v>
      </c>
      <c r="O528" s="19">
        <f t="shared" si="26"/>
        <v>1</v>
      </c>
      <c r="P528" s="19">
        <v>0</v>
      </c>
      <c r="Q528" s="19">
        <v>0</v>
      </c>
      <c r="R528" s="19">
        <v>0</v>
      </c>
      <c r="S528" s="19">
        <v>1</v>
      </c>
      <c r="T528" s="19">
        <v>0</v>
      </c>
      <c r="U528" t="s">
        <v>806</v>
      </c>
      <c r="V528" s="19">
        <v>529</v>
      </c>
      <c r="W528" s="20">
        <v>0.36330663528271501</v>
      </c>
      <c r="X528" s="8"/>
    </row>
    <row r="529" spans="1:24" x14ac:dyDescent="0.25">
      <c r="A529" s="23" t="s">
        <v>1471</v>
      </c>
      <c r="B529" s="18" t="s">
        <v>807</v>
      </c>
      <c r="C529" s="18" t="s">
        <v>7</v>
      </c>
      <c r="D529" s="5" t="s">
        <v>793</v>
      </c>
      <c r="E529" s="19">
        <v>0</v>
      </c>
      <c r="F529" s="19">
        <v>0</v>
      </c>
      <c r="G529" s="19">
        <v>0</v>
      </c>
      <c r="H529" s="19">
        <v>0</v>
      </c>
      <c r="I529" s="19">
        <v>1</v>
      </c>
      <c r="J529" s="19">
        <v>1</v>
      </c>
      <c r="K529" s="19">
        <f t="shared" si="24"/>
        <v>0</v>
      </c>
      <c r="L529" s="19">
        <v>0</v>
      </c>
      <c r="M529" s="19">
        <f t="shared" si="25"/>
        <v>1</v>
      </c>
      <c r="N529" s="19">
        <v>0</v>
      </c>
      <c r="O529" s="19">
        <f t="shared" si="26"/>
        <v>1</v>
      </c>
      <c r="P529" s="19">
        <v>0</v>
      </c>
      <c r="Q529" s="19">
        <v>0</v>
      </c>
      <c r="R529" s="19">
        <v>0</v>
      </c>
      <c r="S529" s="19">
        <v>1</v>
      </c>
      <c r="T529" s="19">
        <v>0</v>
      </c>
      <c r="U529" t="s">
        <v>808</v>
      </c>
      <c r="V529" s="19">
        <v>530</v>
      </c>
      <c r="W529" s="20">
        <v>0.31807291195357301</v>
      </c>
      <c r="X529" s="8"/>
    </row>
    <row r="530" spans="1:24" x14ac:dyDescent="0.25">
      <c r="A530" s="23" t="s">
        <v>1472</v>
      </c>
      <c r="B530" s="18" t="s">
        <v>809</v>
      </c>
      <c r="C530" s="18" t="s">
        <v>7</v>
      </c>
      <c r="D530" s="5" t="s">
        <v>793</v>
      </c>
      <c r="E530" s="19">
        <v>0</v>
      </c>
      <c r="F530" s="19">
        <v>0</v>
      </c>
      <c r="G530" s="19">
        <v>0</v>
      </c>
      <c r="H530" s="19">
        <v>0</v>
      </c>
      <c r="I530" s="19">
        <v>1</v>
      </c>
      <c r="J530" s="19">
        <v>1</v>
      </c>
      <c r="K530" s="19">
        <f t="shared" si="24"/>
        <v>0</v>
      </c>
      <c r="L530" s="19">
        <v>0</v>
      </c>
      <c r="M530" s="19">
        <f t="shared" si="25"/>
        <v>1</v>
      </c>
      <c r="N530" s="19">
        <v>0</v>
      </c>
      <c r="O530" s="19">
        <f t="shared" si="26"/>
        <v>1</v>
      </c>
      <c r="P530" s="19">
        <v>0</v>
      </c>
      <c r="Q530" s="19">
        <v>0</v>
      </c>
      <c r="R530" s="19">
        <v>0</v>
      </c>
      <c r="S530" s="19">
        <v>1</v>
      </c>
      <c r="T530" s="19">
        <v>0</v>
      </c>
      <c r="U530" t="s">
        <v>810</v>
      </c>
      <c r="V530" s="19">
        <v>531</v>
      </c>
      <c r="W530" s="20">
        <v>6.0326805173310703E-2</v>
      </c>
      <c r="X530" s="8"/>
    </row>
    <row r="531" spans="1:24" x14ac:dyDescent="0.25">
      <c r="A531" s="23" t="s">
        <v>1473</v>
      </c>
      <c r="B531" s="18" t="s">
        <v>811</v>
      </c>
      <c r="C531" s="18" t="s">
        <v>7</v>
      </c>
      <c r="D531" s="5" t="s">
        <v>793</v>
      </c>
      <c r="E531" s="19">
        <v>0</v>
      </c>
      <c r="F531" s="19">
        <v>0</v>
      </c>
      <c r="G531" s="19">
        <v>0</v>
      </c>
      <c r="H531" s="19">
        <v>0</v>
      </c>
      <c r="I531" s="19">
        <v>1</v>
      </c>
      <c r="J531" s="19">
        <v>1</v>
      </c>
      <c r="K531" s="19">
        <f t="shared" si="24"/>
        <v>0</v>
      </c>
      <c r="L531" s="19">
        <v>0</v>
      </c>
      <c r="M531" s="19">
        <f t="shared" si="25"/>
        <v>1</v>
      </c>
      <c r="N531" s="19">
        <v>0</v>
      </c>
      <c r="O531" s="19">
        <f t="shared" si="26"/>
        <v>1</v>
      </c>
      <c r="P531" s="19">
        <v>0</v>
      </c>
      <c r="Q531" s="19">
        <v>0</v>
      </c>
      <c r="R531" s="19">
        <v>0</v>
      </c>
      <c r="S531" s="19">
        <v>1</v>
      </c>
      <c r="T531" s="19">
        <v>0</v>
      </c>
      <c r="U531" t="s">
        <v>812</v>
      </c>
      <c r="V531" s="19">
        <v>532</v>
      </c>
      <c r="W531" s="20">
        <v>9.8327794194137202E-2</v>
      </c>
      <c r="X531" s="8"/>
    </row>
    <row r="532" spans="1:24" x14ac:dyDescent="0.25">
      <c r="A532" s="23" t="s">
        <v>1474</v>
      </c>
      <c r="B532" s="18" t="s">
        <v>813</v>
      </c>
      <c r="C532" s="18" t="s">
        <v>7</v>
      </c>
      <c r="D532" s="5" t="s">
        <v>793</v>
      </c>
      <c r="E532" s="19">
        <v>0</v>
      </c>
      <c r="F532" s="19">
        <v>0</v>
      </c>
      <c r="G532" s="19">
        <v>0</v>
      </c>
      <c r="H532" s="19">
        <v>0</v>
      </c>
      <c r="I532" s="19">
        <v>1</v>
      </c>
      <c r="J532" s="19">
        <v>1</v>
      </c>
      <c r="K532" s="19">
        <f t="shared" si="24"/>
        <v>0</v>
      </c>
      <c r="L532" s="19">
        <v>0</v>
      </c>
      <c r="M532" s="19">
        <f t="shared" si="25"/>
        <v>1</v>
      </c>
      <c r="N532" s="19">
        <v>0</v>
      </c>
      <c r="O532" s="19">
        <f t="shared" si="26"/>
        <v>1</v>
      </c>
      <c r="P532" s="19">
        <v>0</v>
      </c>
      <c r="Q532" s="19">
        <v>0</v>
      </c>
      <c r="R532" s="19">
        <v>0</v>
      </c>
      <c r="S532" s="19">
        <v>1</v>
      </c>
      <c r="T532" s="19">
        <v>1</v>
      </c>
      <c r="U532" t="s">
        <v>814</v>
      </c>
      <c r="V532" s="19">
        <v>533</v>
      </c>
      <c r="W532" s="20">
        <v>6.18858139224144E-2</v>
      </c>
      <c r="X532" s="8"/>
    </row>
    <row r="533" spans="1:24" x14ac:dyDescent="0.25">
      <c r="A533" s="23" t="s">
        <v>1475</v>
      </c>
      <c r="B533" s="18" t="s">
        <v>815</v>
      </c>
      <c r="C533" s="18" t="s">
        <v>7</v>
      </c>
      <c r="D533" s="5" t="s">
        <v>793</v>
      </c>
      <c r="E533" s="19">
        <v>0</v>
      </c>
      <c r="F533" s="19">
        <v>0</v>
      </c>
      <c r="G533" s="19">
        <v>0</v>
      </c>
      <c r="H533" s="19">
        <v>0</v>
      </c>
      <c r="I533" s="19">
        <v>1</v>
      </c>
      <c r="J533" s="19">
        <v>1</v>
      </c>
      <c r="K533" s="19">
        <f t="shared" si="24"/>
        <v>0</v>
      </c>
      <c r="L533" s="19">
        <v>0</v>
      </c>
      <c r="M533" s="19">
        <f t="shared" si="25"/>
        <v>1</v>
      </c>
      <c r="N533" s="19">
        <v>0</v>
      </c>
      <c r="O533" s="19">
        <f t="shared" si="26"/>
        <v>1</v>
      </c>
      <c r="P533" s="19">
        <v>0</v>
      </c>
      <c r="Q533" s="19">
        <v>0</v>
      </c>
      <c r="R533" s="19">
        <v>0</v>
      </c>
      <c r="S533" s="19">
        <v>1</v>
      </c>
      <c r="T533" s="19">
        <v>1</v>
      </c>
      <c r="U533" t="s">
        <v>816</v>
      </c>
      <c r="V533" s="19">
        <v>534</v>
      </c>
      <c r="W533" s="20">
        <v>3.1434819477156498E-2</v>
      </c>
      <c r="X533" s="8"/>
    </row>
    <row r="534" spans="1:24" x14ac:dyDescent="0.25">
      <c r="A534" s="23" t="s">
        <v>1476</v>
      </c>
      <c r="B534" s="15" t="s">
        <v>817</v>
      </c>
      <c r="C534" s="15" t="s">
        <v>25</v>
      </c>
      <c r="D534" s="5" t="s">
        <v>793</v>
      </c>
      <c r="E534" s="16">
        <v>0</v>
      </c>
      <c r="F534" s="16">
        <v>0</v>
      </c>
      <c r="G534" s="16">
        <v>0</v>
      </c>
      <c r="H534" s="16">
        <v>1</v>
      </c>
      <c r="I534" s="16">
        <v>0</v>
      </c>
      <c r="J534" s="16">
        <v>0</v>
      </c>
      <c r="K534" s="16">
        <f t="shared" si="24"/>
        <v>0</v>
      </c>
      <c r="L534" s="16">
        <v>0</v>
      </c>
      <c r="M534" s="16">
        <f t="shared" si="25"/>
        <v>0</v>
      </c>
      <c r="N534" s="16">
        <v>0</v>
      </c>
      <c r="O534" s="16">
        <f t="shared" si="26"/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V534" s="16">
        <v>535</v>
      </c>
      <c r="W534" s="17">
        <v>0.72341599175964344</v>
      </c>
      <c r="X534" s="8"/>
    </row>
    <row r="535" spans="1:24" x14ac:dyDescent="0.25">
      <c r="A535" s="23" t="s">
        <v>1477</v>
      </c>
      <c r="B535" s="18" t="s">
        <v>818</v>
      </c>
      <c r="C535" s="18" t="s">
        <v>7</v>
      </c>
      <c r="D535" s="5" t="s">
        <v>793</v>
      </c>
      <c r="E535" s="19">
        <v>0</v>
      </c>
      <c r="F535" s="19">
        <v>0</v>
      </c>
      <c r="G535" s="19">
        <v>0</v>
      </c>
      <c r="H535" s="19">
        <v>0</v>
      </c>
      <c r="I535" s="19">
        <v>1</v>
      </c>
      <c r="J535" s="19">
        <v>1</v>
      </c>
      <c r="K535" s="19">
        <f t="shared" si="24"/>
        <v>0</v>
      </c>
      <c r="L535" s="19">
        <v>0</v>
      </c>
      <c r="M535" s="19">
        <f t="shared" si="25"/>
        <v>1</v>
      </c>
      <c r="N535" s="19">
        <v>0</v>
      </c>
      <c r="O535" s="19">
        <f t="shared" si="26"/>
        <v>1</v>
      </c>
      <c r="P535" s="19">
        <v>0</v>
      </c>
      <c r="Q535" s="19">
        <v>0</v>
      </c>
      <c r="R535" s="19">
        <v>0</v>
      </c>
      <c r="S535" s="19">
        <v>1</v>
      </c>
      <c r="T535" s="19">
        <v>0</v>
      </c>
      <c r="U535" t="s">
        <v>819</v>
      </c>
      <c r="V535" s="19">
        <v>536</v>
      </c>
      <c r="W535" s="20">
        <v>0.117417570944103</v>
      </c>
      <c r="X535" s="8"/>
    </row>
    <row r="536" spans="1:24" x14ac:dyDescent="0.25">
      <c r="A536" s="23" t="s">
        <v>1478</v>
      </c>
      <c r="B536" s="18" t="s">
        <v>820</v>
      </c>
      <c r="C536" s="18" t="s">
        <v>7</v>
      </c>
      <c r="D536" s="5" t="s">
        <v>793</v>
      </c>
      <c r="E536" s="19">
        <v>0</v>
      </c>
      <c r="F536" s="19">
        <v>0</v>
      </c>
      <c r="G536" s="19">
        <v>0</v>
      </c>
      <c r="H536" s="19">
        <v>0</v>
      </c>
      <c r="I536" s="19">
        <v>1</v>
      </c>
      <c r="J536" s="19">
        <v>1</v>
      </c>
      <c r="K536" s="19">
        <f t="shared" si="24"/>
        <v>0</v>
      </c>
      <c r="L536" s="19">
        <v>0</v>
      </c>
      <c r="M536" s="19">
        <f t="shared" si="25"/>
        <v>1</v>
      </c>
      <c r="N536" s="19">
        <v>0</v>
      </c>
      <c r="O536" s="19">
        <f t="shared" si="26"/>
        <v>1</v>
      </c>
      <c r="P536" s="19">
        <v>0</v>
      </c>
      <c r="Q536" s="19">
        <v>0</v>
      </c>
      <c r="R536" s="19">
        <v>0</v>
      </c>
      <c r="S536" s="19">
        <v>1</v>
      </c>
      <c r="T536" s="19">
        <v>0</v>
      </c>
      <c r="U536" t="s">
        <v>821</v>
      </c>
      <c r="V536" s="19">
        <v>537</v>
      </c>
      <c r="W536" s="20">
        <v>0.46534578297770302</v>
      </c>
      <c r="X536" s="8"/>
    </row>
    <row r="537" spans="1:24" x14ac:dyDescent="0.25">
      <c r="A537" s="23" t="s">
        <v>1479</v>
      </c>
      <c r="B537" s="18" t="s">
        <v>822</v>
      </c>
      <c r="C537" s="18" t="s">
        <v>7</v>
      </c>
      <c r="D537" s="5" t="s">
        <v>793</v>
      </c>
      <c r="E537" s="19">
        <v>0</v>
      </c>
      <c r="F537" s="19">
        <v>0</v>
      </c>
      <c r="G537" s="19">
        <v>0</v>
      </c>
      <c r="H537" s="19">
        <v>0</v>
      </c>
      <c r="I537" s="19">
        <v>1</v>
      </c>
      <c r="J537" s="19">
        <v>1</v>
      </c>
      <c r="K537" s="19">
        <f t="shared" si="24"/>
        <v>0</v>
      </c>
      <c r="L537" s="19">
        <v>0</v>
      </c>
      <c r="M537" s="19">
        <f t="shared" si="25"/>
        <v>1</v>
      </c>
      <c r="N537" s="19">
        <v>0</v>
      </c>
      <c r="O537" s="19">
        <f t="shared" si="26"/>
        <v>1</v>
      </c>
      <c r="P537" s="19">
        <v>0</v>
      </c>
      <c r="Q537" s="19">
        <v>0</v>
      </c>
      <c r="R537" s="19">
        <v>0</v>
      </c>
      <c r="S537" s="19">
        <v>1</v>
      </c>
      <c r="T537" s="19">
        <v>1</v>
      </c>
      <c r="U537" t="s">
        <v>823</v>
      </c>
      <c r="V537" s="19">
        <v>538</v>
      </c>
      <c r="W537" s="20">
        <v>6.41973125215691E-2</v>
      </c>
      <c r="X537" s="8"/>
    </row>
    <row r="538" spans="1:24" x14ac:dyDescent="0.25">
      <c r="A538" s="23" t="s">
        <v>1480</v>
      </c>
      <c r="B538" s="18" t="s">
        <v>824</v>
      </c>
      <c r="C538" s="18" t="s">
        <v>7</v>
      </c>
      <c r="D538" s="5" t="s">
        <v>793</v>
      </c>
      <c r="E538" s="19">
        <v>0</v>
      </c>
      <c r="F538" s="19">
        <v>0</v>
      </c>
      <c r="G538" s="19">
        <v>0</v>
      </c>
      <c r="H538" s="19">
        <v>0</v>
      </c>
      <c r="I538" s="19">
        <v>1</v>
      </c>
      <c r="J538" s="19">
        <v>1</v>
      </c>
      <c r="K538" s="19">
        <f t="shared" si="24"/>
        <v>0</v>
      </c>
      <c r="L538" s="19">
        <v>0</v>
      </c>
      <c r="M538" s="19">
        <f t="shared" si="25"/>
        <v>1</v>
      </c>
      <c r="N538" s="19">
        <v>0</v>
      </c>
      <c r="O538" s="19">
        <f t="shared" si="26"/>
        <v>1</v>
      </c>
      <c r="P538" s="19">
        <v>0</v>
      </c>
      <c r="Q538" s="19">
        <v>0</v>
      </c>
      <c r="R538" s="19">
        <v>0</v>
      </c>
      <c r="S538" s="19">
        <v>1</v>
      </c>
      <c r="T538" s="19">
        <v>0</v>
      </c>
      <c r="U538" t="s">
        <v>825</v>
      </c>
      <c r="V538" s="19">
        <v>539</v>
      </c>
      <c r="W538" s="20">
        <v>3.22681043643935E-2</v>
      </c>
      <c r="X538" s="8"/>
    </row>
    <row r="539" spans="1:24" x14ac:dyDescent="0.25">
      <c r="A539" s="23" t="s">
        <v>1481</v>
      </c>
      <c r="B539" s="18" t="s">
        <v>826</v>
      </c>
      <c r="C539" s="18" t="s">
        <v>7</v>
      </c>
      <c r="D539" s="5" t="s">
        <v>793</v>
      </c>
      <c r="E539" s="19">
        <v>0</v>
      </c>
      <c r="F539" s="19">
        <v>0</v>
      </c>
      <c r="G539" s="19">
        <v>0</v>
      </c>
      <c r="H539" s="19">
        <v>0</v>
      </c>
      <c r="I539" s="19">
        <v>1</v>
      </c>
      <c r="J539" s="19">
        <v>1</v>
      </c>
      <c r="K539" s="19">
        <f t="shared" si="24"/>
        <v>0</v>
      </c>
      <c r="L539" s="19">
        <v>0</v>
      </c>
      <c r="M539" s="19">
        <f t="shared" si="25"/>
        <v>1</v>
      </c>
      <c r="N539" s="19">
        <v>0</v>
      </c>
      <c r="O539" s="19">
        <f t="shared" si="26"/>
        <v>1</v>
      </c>
      <c r="P539" s="19">
        <v>0</v>
      </c>
      <c r="Q539" s="19">
        <v>0</v>
      </c>
      <c r="R539" s="19">
        <v>0</v>
      </c>
      <c r="S539" s="19">
        <v>1</v>
      </c>
      <c r="T539" s="19">
        <v>0</v>
      </c>
      <c r="U539" t="s">
        <v>827</v>
      </c>
      <c r="V539" s="19">
        <v>540</v>
      </c>
      <c r="W539" s="20">
        <v>4.41872209518748E-2</v>
      </c>
      <c r="X539" s="8"/>
    </row>
    <row r="540" spans="1:24" x14ac:dyDescent="0.25">
      <c r="A540" s="23" t="s">
        <v>1482</v>
      </c>
      <c r="B540" s="9" t="s">
        <v>828</v>
      </c>
      <c r="C540" s="9" t="s">
        <v>4</v>
      </c>
      <c r="D540" s="5" t="s">
        <v>793</v>
      </c>
      <c r="E540" s="10">
        <v>0</v>
      </c>
      <c r="F540" s="10">
        <v>1</v>
      </c>
      <c r="G540" s="10">
        <v>0</v>
      </c>
      <c r="H540" s="10">
        <v>0</v>
      </c>
      <c r="I540" s="10">
        <v>0</v>
      </c>
      <c r="J540" s="10">
        <v>0</v>
      </c>
      <c r="K540" s="10">
        <f t="shared" si="24"/>
        <v>0</v>
      </c>
      <c r="L540" s="10">
        <v>0</v>
      </c>
      <c r="M540" s="10">
        <f t="shared" si="25"/>
        <v>0</v>
      </c>
      <c r="N540" s="10">
        <v>0</v>
      </c>
      <c r="O540" s="10">
        <f t="shared" si="26"/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V540" s="10">
        <v>541</v>
      </c>
      <c r="W540" s="11">
        <v>4.4699264949115303E-2</v>
      </c>
      <c r="X540" s="8"/>
    </row>
    <row r="541" spans="1:24" x14ac:dyDescent="0.25">
      <c r="A541" s="23" t="s">
        <v>1483</v>
      </c>
      <c r="B541" s="12" t="s">
        <v>829</v>
      </c>
      <c r="C541" s="12" t="s">
        <v>5</v>
      </c>
      <c r="D541" s="5" t="s">
        <v>793</v>
      </c>
      <c r="E541" s="13">
        <v>0</v>
      </c>
      <c r="F541" s="13">
        <v>0</v>
      </c>
      <c r="G541" s="13">
        <v>1</v>
      </c>
      <c r="H541" s="13">
        <v>0</v>
      </c>
      <c r="I541" s="13">
        <v>0</v>
      </c>
      <c r="J541" s="13">
        <v>0</v>
      </c>
      <c r="K541" s="13">
        <f t="shared" si="24"/>
        <v>0</v>
      </c>
      <c r="L541" s="13">
        <v>0</v>
      </c>
      <c r="M541" s="13">
        <f t="shared" si="25"/>
        <v>0</v>
      </c>
      <c r="N541" s="13">
        <v>0</v>
      </c>
      <c r="O541" s="13">
        <f t="shared" si="26"/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V541" s="13">
        <v>542</v>
      </c>
      <c r="W541" s="14">
        <v>4.4699264949115303E-2</v>
      </c>
      <c r="X541" s="8"/>
    </row>
    <row r="542" spans="1:24" x14ac:dyDescent="0.25">
      <c r="A542" s="23" t="s">
        <v>1484</v>
      </c>
      <c r="B542" s="15" t="s">
        <v>829</v>
      </c>
      <c r="C542" s="15" t="s">
        <v>25</v>
      </c>
      <c r="D542" s="5" t="s">
        <v>793</v>
      </c>
      <c r="E542" s="16">
        <v>0</v>
      </c>
      <c r="F542" s="16">
        <v>0</v>
      </c>
      <c r="G542" s="16">
        <v>0</v>
      </c>
      <c r="H542" s="16">
        <v>1</v>
      </c>
      <c r="I542" s="16">
        <v>0</v>
      </c>
      <c r="J542" s="16">
        <v>0</v>
      </c>
      <c r="K542" s="16">
        <f t="shared" si="24"/>
        <v>0</v>
      </c>
      <c r="L542" s="16">
        <v>0</v>
      </c>
      <c r="M542" s="16">
        <f t="shared" si="25"/>
        <v>0</v>
      </c>
      <c r="N542" s="16">
        <v>0</v>
      </c>
      <c r="O542" s="16">
        <f t="shared" si="26"/>
        <v>0</v>
      </c>
      <c r="P542" s="16">
        <v>0</v>
      </c>
      <c r="Q542" s="16">
        <v>0</v>
      </c>
      <c r="R542" s="16">
        <v>0</v>
      </c>
      <c r="S542" s="16">
        <v>0</v>
      </c>
      <c r="T542" s="16">
        <v>0</v>
      </c>
      <c r="V542" s="16">
        <v>543</v>
      </c>
      <c r="W542" s="17">
        <v>4.4699264949115303E-2</v>
      </c>
      <c r="X542" s="8"/>
    </row>
    <row r="543" spans="1:24" x14ac:dyDescent="0.25">
      <c r="A543" s="23" t="s">
        <v>1485</v>
      </c>
      <c r="B543" s="18" t="s">
        <v>830</v>
      </c>
      <c r="C543" s="18" t="s">
        <v>7</v>
      </c>
      <c r="D543" s="5" t="s">
        <v>793</v>
      </c>
      <c r="E543" s="19">
        <v>0</v>
      </c>
      <c r="F543" s="19">
        <v>0</v>
      </c>
      <c r="G543" s="19">
        <v>0</v>
      </c>
      <c r="H543" s="19">
        <v>0</v>
      </c>
      <c r="I543" s="19">
        <v>1</v>
      </c>
      <c r="J543" s="19">
        <v>1</v>
      </c>
      <c r="K543" s="19">
        <f t="shared" si="24"/>
        <v>0</v>
      </c>
      <c r="L543" s="19">
        <v>0</v>
      </c>
      <c r="M543" s="19">
        <f t="shared" si="25"/>
        <v>1</v>
      </c>
      <c r="N543" s="19">
        <v>0</v>
      </c>
      <c r="O543" s="19">
        <f t="shared" si="26"/>
        <v>1</v>
      </c>
      <c r="P543" s="19">
        <v>0</v>
      </c>
      <c r="Q543" s="19">
        <v>0</v>
      </c>
      <c r="R543" s="19">
        <v>0</v>
      </c>
      <c r="S543" s="19">
        <v>1</v>
      </c>
      <c r="T543" s="19">
        <v>0</v>
      </c>
      <c r="U543" t="s">
        <v>831</v>
      </c>
      <c r="V543" s="19">
        <v>544</v>
      </c>
      <c r="W543" s="20">
        <v>4.4699264949115303E-2</v>
      </c>
      <c r="X543" s="8"/>
    </row>
    <row r="544" spans="1:24" ht="15.75" thickBot="1" x14ac:dyDescent="0.3">
      <c r="A544" s="23" t="s">
        <v>1486</v>
      </c>
      <c r="B544" s="5" t="s">
        <v>832</v>
      </c>
      <c r="C544" s="5" t="s">
        <v>3</v>
      </c>
      <c r="D544" s="5" t="s">
        <v>832</v>
      </c>
      <c r="E544" s="6">
        <v>1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f t="shared" si="24"/>
        <v>0</v>
      </c>
      <c r="L544" s="6">
        <v>0</v>
      </c>
      <c r="M544" s="6">
        <f t="shared" si="25"/>
        <v>0</v>
      </c>
      <c r="N544" s="6">
        <v>0</v>
      </c>
      <c r="O544" s="6">
        <f t="shared" si="26"/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V544" s="6">
        <v>545</v>
      </c>
      <c r="W544" s="21">
        <v>10.309428234592804</v>
      </c>
      <c r="X544" s="8"/>
    </row>
    <row r="545" spans="1:24" x14ac:dyDescent="0.25">
      <c r="A545" s="23" t="s">
        <v>1487</v>
      </c>
      <c r="B545" s="9" t="s">
        <v>833</v>
      </c>
      <c r="C545" s="9" t="s">
        <v>4</v>
      </c>
      <c r="D545" s="5" t="s">
        <v>832</v>
      </c>
      <c r="E545" s="10">
        <v>0</v>
      </c>
      <c r="F545" s="10">
        <v>1</v>
      </c>
      <c r="G545" s="10">
        <v>0</v>
      </c>
      <c r="H545" s="10">
        <v>0</v>
      </c>
      <c r="I545" s="10">
        <v>0</v>
      </c>
      <c r="J545" s="10">
        <v>0</v>
      </c>
      <c r="K545" s="10">
        <f t="shared" si="24"/>
        <v>0</v>
      </c>
      <c r="L545" s="10">
        <v>0</v>
      </c>
      <c r="M545" s="10">
        <f t="shared" si="25"/>
        <v>0</v>
      </c>
      <c r="N545" s="10">
        <v>0</v>
      </c>
      <c r="O545" s="10">
        <f t="shared" si="26"/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V545" s="10">
        <v>546</v>
      </c>
      <c r="W545" s="11">
        <v>8.6317942698458765</v>
      </c>
      <c r="X545" s="8"/>
    </row>
    <row r="546" spans="1:24" x14ac:dyDescent="0.25">
      <c r="A546" s="23" t="s">
        <v>1488</v>
      </c>
      <c r="B546" s="12" t="s">
        <v>834</v>
      </c>
      <c r="C546" s="12" t="s">
        <v>5</v>
      </c>
      <c r="D546" s="5" t="s">
        <v>832</v>
      </c>
      <c r="E546" s="13">
        <v>0</v>
      </c>
      <c r="F546" s="13">
        <v>0</v>
      </c>
      <c r="G546" s="13">
        <v>1</v>
      </c>
      <c r="H546" s="13">
        <v>0</v>
      </c>
      <c r="I546" s="13">
        <v>0</v>
      </c>
      <c r="J546" s="13">
        <v>0</v>
      </c>
      <c r="K546" s="13">
        <f t="shared" si="24"/>
        <v>0</v>
      </c>
      <c r="L546" s="13">
        <v>0</v>
      </c>
      <c r="M546" s="13">
        <f t="shared" si="25"/>
        <v>0</v>
      </c>
      <c r="N546" s="13">
        <v>0</v>
      </c>
      <c r="O546" s="13">
        <f t="shared" si="26"/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V546" s="13">
        <v>547</v>
      </c>
      <c r="W546" s="14">
        <v>3.5201796789803477</v>
      </c>
      <c r="X546" s="8"/>
    </row>
    <row r="547" spans="1:24" x14ac:dyDescent="0.25">
      <c r="A547" s="23" t="s">
        <v>1489</v>
      </c>
      <c r="B547" s="15" t="s">
        <v>835</v>
      </c>
      <c r="C547" s="15" t="s">
        <v>25</v>
      </c>
      <c r="D547" s="5" t="s">
        <v>832</v>
      </c>
      <c r="E547" s="16">
        <v>0</v>
      </c>
      <c r="F547" s="16">
        <v>0</v>
      </c>
      <c r="G547" s="16">
        <v>0</v>
      </c>
      <c r="H547" s="16">
        <v>1</v>
      </c>
      <c r="I547" s="16">
        <v>0</v>
      </c>
      <c r="J547" s="16">
        <v>0</v>
      </c>
      <c r="K547" s="16">
        <f t="shared" si="24"/>
        <v>0</v>
      </c>
      <c r="L547" s="16">
        <v>0</v>
      </c>
      <c r="M547" s="16">
        <f t="shared" si="25"/>
        <v>0</v>
      </c>
      <c r="N547" s="16">
        <v>0</v>
      </c>
      <c r="O547" s="16">
        <f t="shared" si="26"/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V547" s="16">
        <v>548</v>
      </c>
      <c r="W547" s="17">
        <v>3.5201796789803477</v>
      </c>
      <c r="X547" s="8"/>
    </row>
    <row r="548" spans="1:24" x14ac:dyDescent="0.25">
      <c r="A548" s="23" t="s">
        <v>1490</v>
      </c>
      <c r="B548" s="18" t="s">
        <v>836</v>
      </c>
      <c r="C548" s="18" t="s">
        <v>7</v>
      </c>
      <c r="D548" s="5" t="s">
        <v>832</v>
      </c>
      <c r="E548" s="19">
        <v>0</v>
      </c>
      <c r="F548" s="19">
        <v>0</v>
      </c>
      <c r="G548" s="19">
        <v>0</v>
      </c>
      <c r="H548" s="19">
        <v>0</v>
      </c>
      <c r="I548" s="19">
        <v>1</v>
      </c>
      <c r="J548" s="19">
        <v>1</v>
      </c>
      <c r="K548" s="19">
        <f t="shared" si="24"/>
        <v>0</v>
      </c>
      <c r="L548" s="19">
        <v>0</v>
      </c>
      <c r="M548" s="19">
        <f t="shared" si="25"/>
        <v>1</v>
      </c>
      <c r="N548" s="19">
        <v>0</v>
      </c>
      <c r="O548" s="19">
        <f t="shared" si="26"/>
        <v>1</v>
      </c>
      <c r="P548" s="19">
        <v>0</v>
      </c>
      <c r="Q548" s="19">
        <v>0</v>
      </c>
      <c r="R548" s="19">
        <v>0</v>
      </c>
      <c r="S548" s="19">
        <v>1</v>
      </c>
      <c r="T548" s="19">
        <v>0</v>
      </c>
      <c r="U548" t="s">
        <v>837</v>
      </c>
      <c r="V548" s="19">
        <v>549</v>
      </c>
      <c r="W548" s="20">
        <v>1.5239088093750199</v>
      </c>
      <c r="X548" s="8"/>
    </row>
    <row r="549" spans="1:24" x14ac:dyDescent="0.25">
      <c r="A549" s="23" t="s">
        <v>1491</v>
      </c>
      <c r="B549" s="18" t="s">
        <v>838</v>
      </c>
      <c r="C549" s="18" t="s">
        <v>7</v>
      </c>
      <c r="D549" s="5" t="s">
        <v>832</v>
      </c>
      <c r="E549" s="19">
        <v>0</v>
      </c>
      <c r="F549" s="19">
        <v>0</v>
      </c>
      <c r="G549" s="19">
        <v>0</v>
      </c>
      <c r="H549" s="19">
        <v>0</v>
      </c>
      <c r="I549" s="19">
        <v>1</v>
      </c>
      <c r="J549" s="19">
        <v>1</v>
      </c>
      <c r="K549" s="19">
        <f t="shared" si="24"/>
        <v>0</v>
      </c>
      <c r="L549" s="19">
        <v>0</v>
      </c>
      <c r="M549" s="19">
        <f t="shared" si="25"/>
        <v>1</v>
      </c>
      <c r="N549" s="19">
        <v>0</v>
      </c>
      <c r="O549" s="19">
        <f t="shared" si="26"/>
        <v>1</v>
      </c>
      <c r="P549" s="19">
        <v>0</v>
      </c>
      <c r="Q549" s="19">
        <v>0</v>
      </c>
      <c r="R549" s="19">
        <v>0</v>
      </c>
      <c r="S549" s="19">
        <v>1</v>
      </c>
      <c r="T549" s="19">
        <v>0</v>
      </c>
      <c r="U549" t="s">
        <v>839</v>
      </c>
      <c r="V549" s="19">
        <v>550</v>
      </c>
      <c r="W549" s="20">
        <v>1.2447088498991401</v>
      </c>
      <c r="X549" s="8"/>
    </row>
    <row r="550" spans="1:24" x14ac:dyDescent="0.25">
      <c r="A550" s="23" t="s">
        <v>1492</v>
      </c>
      <c r="B550" s="18" t="s">
        <v>840</v>
      </c>
      <c r="C550" s="18" t="s">
        <v>7</v>
      </c>
      <c r="D550" s="5" t="s">
        <v>832</v>
      </c>
      <c r="E550" s="19">
        <v>0</v>
      </c>
      <c r="F550" s="19">
        <v>0</v>
      </c>
      <c r="G550" s="19">
        <v>0</v>
      </c>
      <c r="H550" s="19">
        <v>0</v>
      </c>
      <c r="I550" s="19">
        <v>1</v>
      </c>
      <c r="J550" s="19">
        <v>1</v>
      </c>
      <c r="K550" s="19">
        <f t="shared" si="24"/>
        <v>0</v>
      </c>
      <c r="L550" s="19">
        <v>0</v>
      </c>
      <c r="M550" s="19">
        <f t="shared" si="25"/>
        <v>1</v>
      </c>
      <c r="N550" s="19">
        <v>0</v>
      </c>
      <c r="O550" s="19">
        <f t="shared" si="26"/>
        <v>1</v>
      </c>
      <c r="P550" s="19">
        <v>0</v>
      </c>
      <c r="Q550" s="19">
        <v>0</v>
      </c>
      <c r="R550" s="19">
        <v>0</v>
      </c>
      <c r="S550" s="19">
        <v>1</v>
      </c>
      <c r="T550" s="19">
        <v>0</v>
      </c>
      <c r="U550" t="s">
        <v>841</v>
      </c>
      <c r="V550" s="19">
        <v>551</v>
      </c>
      <c r="W550" s="20">
        <v>0.130572497250105</v>
      </c>
      <c r="X550" s="8"/>
    </row>
    <row r="551" spans="1:24" x14ac:dyDescent="0.25">
      <c r="A551" s="23" t="s">
        <v>1493</v>
      </c>
      <c r="B551" s="18" t="s">
        <v>842</v>
      </c>
      <c r="C551" s="18" t="s">
        <v>7</v>
      </c>
      <c r="D551" s="5" t="s">
        <v>832</v>
      </c>
      <c r="E551" s="19">
        <v>0</v>
      </c>
      <c r="F551" s="19">
        <v>0</v>
      </c>
      <c r="G551" s="19">
        <v>0</v>
      </c>
      <c r="H551" s="19">
        <v>0</v>
      </c>
      <c r="I551" s="19">
        <v>1</v>
      </c>
      <c r="J551" s="19">
        <v>1</v>
      </c>
      <c r="K551" s="19">
        <f t="shared" si="24"/>
        <v>0</v>
      </c>
      <c r="L551" s="19">
        <v>0</v>
      </c>
      <c r="M551" s="19">
        <f t="shared" si="25"/>
        <v>1</v>
      </c>
      <c r="N551" s="19">
        <v>0</v>
      </c>
      <c r="O551" s="19">
        <f t="shared" si="26"/>
        <v>1</v>
      </c>
      <c r="P551" s="19">
        <v>0</v>
      </c>
      <c r="Q551" s="19">
        <v>0</v>
      </c>
      <c r="R551" s="19">
        <v>0</v>
      </c>
      <c r="S551" s="19">
        <v>1</v>
      </c>
      <c r="T551" s="19">
        <v>0</v>
      </c>
      <c r="U551" t="s">
        <v>843</v>
      </c>
      <c r="V551" s="19">
        <v>552</v>
      </c>
      <c r="W551" s="20">
        <v>0.13521505863414501</v>
      </c>
      <c r="X551" s="8"/>
    </row>
    <row r="552" spans="1:24" x14ac:dyDescent="0.25">
      <c r="A552" s="23" t="s">
        <v>1494</v>
      </c>
      <c r="B552" s="18" t="s">
        <v>844</v>
      </c>
      <c r="C552" s="18" t="s">
        <v>7</v>
      </c>
      <c r="D552" s="5" t="s">
        <v>832</v>
      </c>
      <c r="E552" s="19">
        <v>0</v>
      </c>
      <c r="F552" s="19">
        <v>0</v>
      </c>
      <c r="G552" s="19">
        <v>0</v>
      </c>
      <c r="H552" s="19">
        <v>0</v>
      </c>
      <c r="I552" s="19">
        <v>1</v>
      </c>
      <c r="J552" s="19">
        <v>1</v>
      </c>
      <c r="K552" s="19">
        <f t="shared" si="24"/>
        <v>0</v>
      </c>
      <c r="L552" s="19">
        <v>0</v>
      </c>
      <c r="M552" s="19">
        <f t="shared" si="25"/>
        <v>1</v>
      </c>
      <c r="N552" s="19">
        <v>0</v>
      </c>
      <c r="O552" s="19">
        <f t="shared" si="26"/>
        <v>1</v>
      </c>
      <c r="P552" s="19">
        <v>0</v>
      </c>
      <c r="Q552" s="19">
        <v>0</v>
      </c>
      <c r="R552" s="19">
        <v>0</v>
      </c>
      <c r="S552" s="19">
        <v>1</v>
      </c>
      <c r="T552" s="19">
        <v>0</v>
      </c>
      <c r="U552" t="s">
        <v>845</v>
      </c>
      <c r="V552" s="19">
        <v>553</v>
      </c>
      <c r="W552" s="20">
        <v>0.212219380481422</v>
      </c>
      <c r="X552" s="8"/>
    </row>
    <row r="553" spans="1:24" x14ac:dyDescent="0.25">
      <c r="A553" s="23" t="s">
        <v>1495</v>
      </c>
      <c r="B553" s="18" t="s">
        <v>846</v>
      </c>
      <c r="C553" s="18" t="s">
        <v>7</v>
      </c>
      <c r="D553" s="5" t="s">
        <v>832</v>
      </c>
      <c r="E553" s="19">
        <v>0</v>
      </c>
      <c r="F553" s="19">
        <v>0</v>
      </c>
      <c r="G553" s="19">
        <v>0</v>
      </c>
      <c r="H553" s="19">
        <v>0</v>
      </c>
      <c r="I553" s="19">
        <v>1</v>
      </c>
      <c r="J553" s="19">
        <v>1</v>
      </c>
      <c r="K553" s="19">
        <f t="shared" si="24"/>
        <v>0</v>
      </c>
      <c r="L553" s="19">
        <v>0</v>
      </c>
      <c r="M553" s="19">
        <f t="shared" si="25"/>
        <v>1</v>
      </c>
      <c r="N553" s="19">
        <v>0</v>
      </c>
      <c r="O553" s="19">
        <f t="shared" si="26"/>
        <v>1</v>
      </c>
      <c r="P553" s="19">
        <v>0</v>
      </c>
      <c r="Q553" s="19">
        <v>0</v>
      </c>
      <c r="R553" s="19">
        <v>0</v>
      </c>
      <c r="S553" s="19">
        <v>1</v>
      </c>
      <c r="T553" s="19">
        <v>0</v>
      </c>
      <c r="U553" t="s">
        <v>847</v>
      </c>
      <c r="V553" s="19">
        <v>554</v>
      </c>
      <c r="W553" s="20">
        <v>0.13604454640189401</v>
      </c>
      <c r="X553" s="8"/>
    </row>
    <row r="554" spans="1:24" x14ac:dyDescent="0.25">
      <c r="A554" s="23" t="s">
        <v>1496</v>
      </c>
      <c r="B554" s="18" t="s">
        <v>848</v>
      </c>
      <c r="C554" s="18" t="s">
        <v>7</v>
      </c>
      <c r="D554" s="5" t="s">
        <v>832</v>
      </c>
      <c r="E554" s="19">
        <v>0</v>
      </c>
      <c r="F554" s="19">
        <v>0</v>
      </c>
      <c r="G554" s="19">
        <v>0</v>
      </c>
      <c r="H554" s="19">
        <v>0</v>
      </c>
      <c r="I554" s="19">
        <v>1</v>
      </c>
      <c r="J554" s="19">
        <v>1</v>
      </c>
      <c r="K554" s="19">
        <f t="shared" si="24"/>
        <v>0</v>
      </c>
      <c r="L554" s="19">
        <v>0</v>
      </c>
      <c r="M554" s="19">
        <f t="shared" si="25"/>
        <v>1</v>
      </c>
      <c r="N554" s="19">
        <v>0</v>
      </c>
      <c r="O554" s="19">
        <f t="shared" si="26"/>
        <v>1</v>
      </c>
      <c r="P554" s="19">
        <v>0</v>
      </c>
      <c r="Q554" s="19">
        <v>0</v>
      </c>
      <c r="R554" s="19">
        <v>0</v>
      </c>
      <c r="S554" s="19">
        <v>1</v>
      </c>
      <c r="T554" s="19">
        <v>1</v>
      </c>
      <c r="U554" t="s">
        <v>849</v>
      </c>
      <c r="V554" s="19">
        <v>555</v>
      </c>
      <c r="W554" s="20">
        <v>6.6549612385895199E-2</v>
      </c>
      <c r="X554" s="8"/>
    </row>
    <row r="555" spans="1:24" x14ac:dyDescent="0.25">
      <c r="A555" s="23" t="s">
        <v>1497</v>
      </c>
      <c r="B555" s="18" t="s">
        <v>850</v>
      </c>
      <c r="C555" s="18" t="s">
        <v>7</v>
      </c>
      <c r="D555" s="5" t="s">
        <v>832</v>
      </c>
      <c r="E555" s="19">
        <v>0</v>
      </c>
      <c r="F555" s="19">
        <v>0</v>
      </c>
      <c r="G555" s="19">
        <v>0</v>
      </c>
      <c r="H555" s="19">
        <v>0</v>
      </c>
      <c r="I555" s="19">
        <v>1</v>
      </c>
      <c r="J555" s="19">
        <v>1</v>
      </c>
      <c r="K555" s="19">
        <f t="shared" si="24"/>
        <v>0</v>
      </c>
      <c r="L555" s="19">
        <v>0</v>
      </c>
      <c r="M555" s="19">
        <f t="shared" si="25"/>
        <v>1</v>
      </c>
      <c r="N555" s="19">
        <v>0</v>
      </c>
      <c r="O555" s="19">
        <f t="shared" si="26"/>
        <v>1</v>
      </c>
      <c r="P555" s="19">
        <v>0</v>
      </c>
      <c r="Q555" s="19">
        <v>0</v>
      </c>
      <c r="R555" s="19">
        <v>0</v>
      </c>
      <c r="S555" s="19">
        <v>1</v>
      </c>
      <c r="T555" s="19">
        <v>1</v>
      </c>
      <c r="U555" t="s">
        <v>851</v>
      </c>
      <c r="V555" s="19">
        <v>556</v>
      </c>
      <c r="W555" s="20">
        <v>7.0960924552726304E-2</v>
      </c>
      <c r="X555" s="8"/>
    </row>
    <row r="556" spans="1:24" x14ac:dyDescent="0.25">
      <c r="A556" s="23" t="s">
        <v>1498</v>
      </c>
      <c r="B556" s="12" t="s">
        <v>852</v>
      </c>
      <c r="C556" s="12" t="s">
        <v>5</v>
      </c>
      <c r="D556" s="5" t="s">
        <v>832</v>
      </c>
      <c r="E556" s="13">
        <v>0</v>
      </c>
      <c r="F556" s="13">
        <v>0</v>
      </c>
      <c r="G556" s="13">
        <v>1</v>
      </c>
      <c r="H556" s="13">
        <v>0</v>
      </c>
      <c r="I556" s="13">
        <v>0</v>
      </c>
      <c r="J556" s="13">
        <v>0</v>
      </c>
      <c r="K556" s="13">
        <f t="shared" si="24"/>
        <v>0</v>
      </c>
      <c r="L556" s="13">
        <v>0</v>
      </c>
      <c r="M556" s="13">
        <f t="shared" si="25"/>
        <v>0</v>
      </c>
      <c r="N556" s="13">
        <v>0</v>
      </c>
      <c r="O556" s="13">
        <f t="shared" si="26"/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/>
      <c r="V556" s="13">
        <v>557</v>
      </c>
      <c r="W556" s="14">
        <v>5.1116145908655293</v>
      </c>
      <c r="X556" s="8"/>
    </row>
    <row r="557" spans="1:24" x14ac:dyDescent="0.25">
      <c r="A557" s="23" t="s">
        <v>1499</v>
      </c>
      <c r="B557" s="15" t="s">
        <v>853</v>
      </c>
      <c r="C557" s="15" t="s">
        <v>25</v>
      </c>
      <c r="D557" s="5" t="s">
        <v>832</v>
      </c>
      <c r="E557" s="16">
        <v>0</v>
      </c>
      <c r="F557" s="16">
        <v>0</v>
      </c>
      <c r="G557" s="16">
        <v>0</v>
      </c>
      <c r="H557" s="16">
        <v>1</v>
      </c>
      <c r="I557" s="16">
        <v>0</v>
      </c>
      <c r="J557" s="16">
        <v>0</v>
      </c>
      <c r="K557" s="16">
        <f t="shared" si="24"/>
        <v>0</v>
      </c>
      <c r="L557" s="16">
        <v>0</v>
      </c>
      <c r="M557" s="16">
        <f t="shared" si="25"/>
        <v>0</v>
      </c>
      <c r="N557" s="16">
        <v>0</v>
      </c>
      <c r="O557" s="16">
        <f t="shared" si="26"/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/>
      <c r="V557" s="16">
        <v>558</v>
      </c>
      <c r="W557" s="17">
        <v>5.1116145908655293</v>
      </c>
      <c r="X557" s="8"/>
    </row>
    <row r="558" spans="1:24" x14ac:dyDescent="0.25">
      <c r="A558" s="23" t="s">
        <v>1500</v>
      </c>
      <c r="B558" s="18" t="s">
        <v>854</v>
      </c>
      <c r="C558" s="18" t="s">
        <v>7</v>
      </c>
      <c r="D558" s="5" t="s">
        <v>832</v>
      </c>
      <c r="E558" s="19">
        <v>0</v>
      </c>
      <c r="F558" s="19">
        <v>0</v>
      </c>
      <c r="G558" s="19">
        <v>0</v>
      </c>
      <c r="H558" s="19">
        <v>0</v>
      </c>
      <c r="I558" s="19">
        <v>1</v>
      </c>
      <c r="J558" s="19">
        <v>1</v>
      </c>
      <c r="K558" s="19">
        <f t="shared" si="24"/>
        <v>0</v>
      </c>
      <c r="L558" s="19">
        <v>1</v>
      </c>
      <c r="M558" s="19">
        <f t="shared" si="25"/>
        <v>0</v>
      </c>
      <c r="N558" s="19">
        <v>1</v>
      </c>
      <c r="O558" s="19">
        <f t="shared" si="26"/>
        <v>0</v>
      </c>
      <c r="P558" s="19">
        <v>0</v>
      </c>
      <c r="Q558" s="19">
        <v>0</v>
      </c>
      <c r="R558" s="19">
        <v>0</v>
      </c>
      <c r="S558" s="19">
        <v>1</v>
      </c>
      <c r="T558" s="19">
        <v>0</v>
      </c>
      <c r="U558" t="s">
        <v>855</v>
      </c>
      <c r="V558" s="19">
        <v>559</v>
      </c>
      <c r="W558" s="20">
        <v>0.441010621652485</v>
      </c>
      <c r="X558" s="8"/>
    </row>
    <row r="559" spans="1:24" x14ac:dyDescent="0.25">
      <c r="A559" s="23" t="s">
        <v>1501</v>
      </c>
      <c r="B559" s="18" t="s">
        <v>856</v>
      </c>
      <c r="C559" s="18" t="s">
        <v>7</v>
      </c>
      <c r="D559" s="5" t="s">
        <v>832</v>
      </c>
      <c r="E559" s="19">
        <v>0</v>
      </c>
      <c r="F559" s="19">
        <v>0</v>
      </c>
      <c r="G559" s="19">
        <v>0</v>
      </c>
      <c r="H559" s="19">
        <v>0</v>
      </c>
      <c r="I559" s="19">
        <v>1</v>
      </c>
      <c r="J559" s="19">
        <v>1</v>
      </c>
      <c r="K559" s="19">
        <f t="shared" si="24"/>
        <v>0</v>
      </c>
      <c r="L559" s="19">
        <v>1</v>
      </c>
      <c r="M559" s="19">
        <f t="shared" si="25"/>
        <v>0</v>
      </c>
      <c r="N559" s="19">
        <v>1</v>
      </c>
      <c r="O559" s="19">
        <f t="shared" si="26"/>
        <v>0</v>
      </c>
      <c r="P559" s="19">
        <v>0</v>
      </c>
      <c r="Q559" s="19">
        <v>0</v>
      </c>
      <c r="R559" s="19">
        <v>0</v>
      </c>
      <c r="S559" s="19">
        <v>1</v>
      </c>
      <c r="T559" s="19">
        <v>0</v>
      </c>
      <c r="U559" t="s">
        <v>857</v>
      </c>
      <c r="V559" s="19">
        <v>560</v>
      </c>
      <c r="W559" s="20">
        <v>0.44413928349207099</v>
      </c>
      <c r="X559" s="8"/>
    </row>
    <row r="560" spans="1:24" x14ac:dyDescent="0.25">
      <c r="A560" s="23" t="s">
        <v>1502</v>
      </c>
      <c r="B560" s="18" t="s">
        <v>858</v>
      </c>
      <c r="C560" s="18" t="s">
        <v>7</v>
      </c>
      <c r="D560" s="5" t="s">
        <v>832</v>
      </c>
      <c r="E560" s="19">
        <v>0</v>
      </c>
      <c r="F560" s="19">
        <v>0</v>
      </c>
      <c r="G560" s="19">
        <v>0</v>
      </c>
      <c r="H560" s="19">
        <v>0</v>
      </c>
      <c r="I560" s="19">
        <v>1</v>
      </c>
      <c r="J560" s="19">
        <v>1</v>
      </c>
      <c r="K560" s="19">
        <f t="shared" si="24"/>
        <v>0</v>
      </c>
      <c r="L560" s="19">
        <v>1</v>
      </c>
      <c r="M560" s="19">
        <f t="shared" si="25"/>
        <v>0</v>
      </c>
      <c r="N560" s="19">
        <v>1</v>
      </c>
      <c r="O560" s="19">
        <f t="shared" si="26"/>
        <v>0</v>
      </c>
      <c r="P560" s="19">
        <v>0</v>
      </c>
      <c r="Q560" s="19">
        <v>0</v>
      </c>
      <c r="R560" s="19">
        <v>0</v>
      </c>
      <c r="S560" s="19">
        <v>1</v>
      </c>
      <c r="T560" s="19">
        <v>0</v>
      </c>
      <c r="U560" t="s">
        <v>859</v>
      </c>
      <c r="V560" s="19">
        <v>561</v>
      </c>
      <c r="W560" s="20">
        <v>0.51686253426611495</v>
      </c>
      <c r="X560" s="8"/>
    </row>
    <row r="561" spans="1:24" x14ac:dyDescent="0.25">
      <c r="A561" s="23" t="s">
        <v>1503</v>
      </c>
      <c r="B561" s="18" t="s">
        <v>860</v>
      </c>
      <c r="C561" s="18" t="s">
        <v>7</v>
      </c>
      <c r="D561" s="5" t="s">
        <v>832</v>
      </c>
      <c r="E561" s="19">
        <v>0</v>
      </c>
      <c r="F561" s="19">
        <v>0</v>
      </c>
      <c r="G561" s="19">
        <v>0</v>
      </c>
      <c r="H561" s="19">
        <v>0</v>
      </c>
      <c r="I561" s="19">
        <v>1</v>
      </c>
      <c r="J561" s="19">
        <v>1</v>
      </c>
      <c r="K561" s="19">
        <f t="shared" si="24"/>
        <v>0</v>
      </c>
      <c r="L561" s="19">
        <v>1</v>
      </c>
      <c r="M561" s="19">
        <f t="shared" si="25"/>
        <v>0</v>
      </c>
      <c r="N561" s="19">
        <v>1</v>
      </c>
      <c r="O561" s="19">
        <f t="shared" si="26"/>
        <v>0</v>
      </c>
      <c r="P561" s="19">
        <v>0</v>
      </c>
      <c r="Q561" s="19">
        <v>0</v>
      </c>
      <c r="R561" s="19">
        <v>0</v>
      </c>
      <c r="S561" s="19">
        <v>1</v>
      </c>
      <c r="T561" s="19">
        <v>0</v>
      </c>
      <c r="U561" t="s">
        <v>861</v>
      </c>
      <c r="V561" s="19">
        <v>562</v>
      </c>
      <c r="W561" s="20">
        <v>0.40271215191717902</v>
      </c>
      <c r="X561" s="8"/>
    </row>
    <row r="562" spans="1:24" x14ac:dyDescent="0.25">
      <c r="A562" s="23" t="s">
        <v>1504</v>
      </c>
      <c r="B562" s="18" t="s">
        <v>862</v>
      </c>
      <c r="C562" s="18" t="s">
        <v>7</v>
      </c>
      <c r="D562" s="5" t="s">
        <v>832</v>
      </c>
      <c r="E562" s="19">
        <v>0</v>
      </c>
      <c r="F562" s="19">
        <v>0</v>
      </c>
      <c r="G562" s="19">
        <v>0</v>
      </c>
      <c r="H562" s="19">
        <v>0</v>
      </c>
      <c r="I562" s="19">
        <v>1</v>
      </c>
      <c r="J562" s="19">
        <v>1</v>
      </c>
      <c r="K562" s="19">
        <f t="shared" si="24"/>
        <v>0</v>
      </c>
      <c r="L562" s="19">
        <v>1</v>
      </c>
      <c r="M562" s="19">
        <f t="shared" si="25"/>
        <v>0</v>
      </c>
      <c r="N562" s="19">
        <v>1</v>
      </c>
      <c r="O562" s="19">
        <f t="shared" si="26"/>
        <v>0</v>
      </c>
      <c r="P562" s="19">
        <v>0</v>
      </c>
      <c r="Q562" s="19">
        <v>0</v>
      </c>
      <c r="R562" s="19">
        <v>0</v>
      </c>
      <c r="S562" s="19">
        <v>1</v>
      </c>
      <c r="T562" s="19">
        <v>0</v>
      </c>
      <c r="U562" t="s">
        <v>863</v>
      </c>
      <c r="V562" s="19">
        <v>563</v>
      </c>
      <c r="W562" s="20">
        <v>0.55793835371453004</v>
      </c>
      <c r="X562" s="8"/>
    </row>
    <row r="563" spans="1:24" x14ac:dyDescent="0.25">
      <c r="A563" s="23" t="s">
        <v>1505</v>
      </c>
      <c r="B563" s="18" t="s">
        <v>864</v>
      </c>
      <c r="C563" s="18" t="s">
        <v>7</v>
      </c>
      <c r="D563" s="5" t="s">
        <v>832</v>
      </c>
      <c r="E563" s="19">
        <v>0</v>
      </c>
      <c r="F563" s="19">
        <v>0</v>
      </c>
      <c r="G563" s="19">
        <v>0</v>
      </c>
      <c r="H563" s="19">
        <v>0</v>
      </c>
      <c r="I563" s="19">
        <v>1</v>
      </c>
      <c r="J563" s="19">
        <v>1</v>
      </c>
      <c r="K563" s="19">
        <f t="shared" si="24"/>
        <v>0</v>
      </c>
      <c r="L563" s="19">
        <v>1</v>
      </c>
      <c r="M563" s="19">
        <f t="shared" si="25"/>
        <v>0</v>
      </c>
      <c r="N563" s="19">
        <v>1</v>
      </c>
      <c r="O563" s="19">
        <f t="shared" si="26"/>
        <v>0</v>
      </c>
      <c r="P563" s="19">
        <v>0</v>
      </c>
      <c r="Q563" s="19">
        <v>0</v>
      </c>
      <c r="R563" s="19">
        <v>0</v>
      </c>
      <c r="S563" s="19">
        <v>1</v>
      </c>
      <c r="T563" s="19">
        <v>0</v>
      </c>
      <c r="U563" t="s">
        <v>865</v>
      </c>
      <c r="V563" s="19">
        <v>564</v>
      </c>
      <c r="W563" s="20">
        <v>0.30746572417215401</v>
      </c>
      <c r="X563" s="8"/>
    </row>
    <row r="564" spans="1:24" x14ac:dyDescent="0.25">
      <c r="A564" s="23" t="s">
        <v>1506</v>
      </c>
      <c r="B564" s="18" t="s">
        <v>866</v>
      </c>
      <c r="C564" s="18" t="s">
        <v>7</v>
      </c>
      <c r="D564" s="5" t="s">
        <v>832</v>
      </c>
      <c r="E564" s="19">
        <v>0</v>
      </c>
      <c r="F564" s="19">
        <v>0</v>
      </c>
      <c r="G564" s="19">
        <v>0</v>
      </c>
      <c r="H564" s="19">
        <v>0</v>
      </c>
      <c r="I564" s="19">
        <v>1</v>
      </c>
      <c r="J564" s="19">
        <v>1</v>
      </c>
      <c r="K564" s="19">
        <f t="shared" si="24"/>
        <v>0</v>
      </c>
      <c r="L564" s="19">
        <v>1</v>
      </c>
      <c r="M564" s="19">
        <f t="shared" si="25"/>
        <v>0</v>
      </c>
      <c r="N564" s="19">
        <v>1</v>
      </c>
      <c r="O564" s="19">
        <f t="shared" si="26"/>
        <v>0</v>
      </c>
      <c r="P564" s="19">
        <v>0</v>
      </c>
      <c r="Q564" s="19">
        <v>0</v>
      </c>
      <c r="R564" s="19">
        <v>0</v>
      </c>
      <c r="S564" s="19">
        <v>1</v>
      </c>
      <c r="T564" s="19">
        <v>0</v>
      </c>
      <c r="U564" t="s">
        <v>867</v>
      </c>
      <c r="V564" s="19">
        <v>565</v>
      </c>
      <c r="W564" s="20">
        <v>0.38914706086252498</v>
      </c>
      <c r="X564" s="8"/>
    </row>
    <row r="565" spans="1:24" x14ac:dyDescent="0.25">
      <c r="A565" s="23" t="s">
        <v>1507</v>
      </c>
      <c r="B565" s="18" t="s">
        <v>868</v>
      </c>
      <c r="C565" s="18" t="s">
        <v>7</v>
      </c>
      <c r="D565" s="5" t="s">
        <v>832</v>
      </c>
      <c r="E565" s="19">
        <v>0</v>
      </c>
      <c r="F565" s="19">
        <v>0</v>
      </c>
      <c r="G565" s="19">
        <v>0</v>
      </c>
      <c r="H565" s="19">
        <v>0</v>
      </c>
      <c r="I565" s="19">
        <v>1</v>
      </c>
      <c r="J565" s="19">
        <v>1</v>
      </c>
      <c r="K565" s="19">
        <f t="shared" si="24"/>
        <v>0</v>
      </c>
      <c r="L565" s="19">
        <v>1</v>
      </c>
      <c r="M565" s="19">
        <f t="shared" si="25"/>
        <v>0</v>
      </c>
      <c r="N565" s="19">
        <v>1</v>
      </c>
      <c r="O565" s="19">
        <f t="shared" si="26"/>
        <v>0</v>
      </c>
      <c r="P565" s="19">
        <v>0</v>
      </c>
      <c r="Q565" s="19">
        <v>0</v>
      </c>
      <c r="R565" s="19">
        <v>0</v>
      </c>
      <c r="S565" s="19">
        <v>1</v>
      </c>
      <c r="T565" s="19">
        <v>0</v>
      </c>
      <c r="U565" t="s">
        <v>869</v>
      </c>
      <c r="V565" s="19">
        <v>566</v>
      </c>
      <c r="W565" s="20">
        <v>0.30499972369262601</v>
      </c>
      <c r="X565" s="8"/>
    </row>
    <row r="566" spans="1:24" x14ac:dyDescent="0.25">
      <c r="A566" s="23" t="s">
        <v>1508</v>
      </c>
      <c r="B566" s="18" t="s">
        <v>870</v>
      </c>
      <c r="C566" s="18" t="s">
        <v>7</v>
      </c>
      <c r="D566" s="5" t="s">
        <v>832</v>
      </c>
      <c r="E566" s="19">
        <v>0</v>
      </c>
      <c r="F566" s="19">
        <v>0</v>
      </c>
      <c r="G566" s="19">
        <v>0</v>
      </c>
      <c r="H566" s="19">
        <v>0</v>
      </c>
      <c r="I566" s="19">
        <v>1</v>
      </c>
      <c r="J566" s="19">
        <v>1</v>
      </c>
      <c r="K566" s="19">
        <f t="shared" si="24"/>
        <v>0</v>
      </c>
      <c r="L566" s="19">
        <v>1</v>
      </c>
      <c r="M566" s="19">
        <f t="shared" si="25"/>
        <v>0</v>
      </c>
      <c r="N566" s="19">
        <v>1</v>
      </c>
      <c r="O566" s="19">
        <f t="shared" si="26"/>
        <v>0</v>
      </c>
      <c r="P566" s="19">
        <v>0</v>
      </c>
      <c r="Q566" s="19">
        <v>0</v>
      </c>
      <c r="R566" s="19">
        <v>0</v>
      </c>
      <c r="S566" s="19">
        <v>1</v>
      </c>
      <c r="T566" s="19">
        <v>0</v>
      </c>
      <c r="U566" t="s">
        <v>871</v>
      </c>
      <c r="V566" s="19">
        <v>567</v>
      </c>
      <c r="W566" s="20">
        <v>0.18422179668730701</v>
      </c>
      <c r="X566" s="8"/>
    </row>
    <row r="567" spans="1:24" x14ac:dyDescent="0.25">
      <c r="A567" s="23" t="s">
        <v>1509</v>
      </c>
      <c r="B567" s="18" t="s">
        <v>872</v>
      </c>
      <c r="C567" s="18" t="s">
        <v>7</v>
      </c>
      <c r="D567" s="5" t="s">
        <v>832</v>
      </c>
      <c r="E567" s="19">
        <v>0</v>
      </c>
      <c r="F567" s="19">
        <v>0</v>
      </c>
      <c r="G567" s="19">
        <v>0</v>
      </c>
      <c r="H567" s="19">
        <v>0</v>
      </c>
      <c r="I567" s="19">
        <v>1</v>
      </c>
      <c r="J567" s="19">
        <v>1</v>
      </c>
      <c r="K567" s="19">
        <f t="shared" si="24"/>
        <v>0</v>
      </c>
      <c r="L567" s="19">
        <v>1</v>
      </c>
      <c r="M567" s="19">
        <f t="shared" si="25"/>
        <v>0</v>
      </c>
      <c r="N567" s="19">
        <v>1</v>
      </c>
      <c r="O567" s="19">
        <f t="shared" si="26"/>
        <v>0</v>
      </c>
      <c r="P567" s="19">
        <v>0</v>
      </c>
      <c r="Q567" s="19">
        <v>0</v>
      </c>
      <c r="R567" s="19">
        <v>0</v>
      </c>
      <c r="S567" s="19">
        <v>1</v>
      </c>
      <c r="T567" s="19">
        <v>0</v>
      </c>
      <c r="U567" t="s">
        <v>873</v>
      </c>
      <c r="V567" s="19">
        <v>568</v>
      </c>
      <c r="W567" s="20">
        <v>0.117849790287537</v>
      </c>
      <c r="X567" s="8"/>
    </row>
    <row r="568" spans="1:24" x14ac:dyDescent="0.25">
      <c r="A568" s="23" t="s">
        <v>1510</v>
      </c>
      <c r="B568" s="18" t="s">
        <v>874</v>
      </c>
      <c r="C568" s="18" t="s">
        <v>7</v>
      </c>
      <c r="D568" s="5" t="s">
        <v>832</v>
      </c>
      <c r="E568" s="19">
        <v>0</v>
      </c>
      <c r="F568" s="19">
        <v>0</v>
      </c>
      <c r="G568" s="19">
        <v>0</v>
      </c>
      <c r="H568" s="19">
        <v>0</v>
      </c>
      <c r="I568" s="19">
        <v>1</v>
      </c>
      <c r="J568" s="19">
        <v>1</v>
      </c>
      <c r="K568" s="19">
        <f t="shared" si="24"/>
        <v>0</v>
      </c>
      <c r="L568" s="19">
        <v>1</v>
      </c>
      <c r="M568" s="19">
        <f t="shared" si="25"/>
        <v>0</v>
      </c>
      <c r="N568" s="19">
        <v>1</v>
      </c>
      <c r="O568" s="19">
        <f t="shared" si="26"/>
        <v>0</v>
      </c>
      <c r="P568" s="19">
        <v>0</v>
      </c>
      <c r="Q568" s="19">
        <v>0</v>
      </c>
      <c r="R568" s="19">
        <v>0</v>
      </c>
      <c r="S568" s="19">
        <v>1</v>
      </c>
      <c r="T568" s="19">
        <v>0</v>
      </c>
      <c r="U568" t="s">
        <v>875</v>
      </c>
      <c r="V568" s="19">
        <v>569</v>
      </c>
      <c r="W568" s="20">
        <v>0.150116896546343</v>
      </c>
      <c r="X568" s="8"/>
    </row>
    <row r="569" spans="1:24" x14ac:dyDescent="0.25">
      <c r="A569" s="23" t="s">
        <v>1511</v>
      </c>
      <c r="B569" s="18" t="s">
        <v>876</v>
      </c>
      <c r="C569" s="18" t="s">
        <v>7</v>
      </c>
      <c r="D569" s="5" t="s">
        <v>832</v>
      </c>
      <c r="E569" s="19">
        <v>0</v>
      </c>
      <c r="F569" s="19">
        <v>0</v>
      </c>
      <c r="G569" s="19">
        <v>0</v>
      </c>
      <c r="H569" s="19">
        <v>0</v>
      </c>
      <c r="I569" s="19">
        <v>1</v>
      </c>
      <c r="J569" s="19">
        <v>1</v>
      </c>
      <c r="K569" s="19">
        <f t="shared" si="24"/>
        <v>0</v>
      </c>
      <c r="L569" s="19">
        <v>1</v>
      </c>
      <c r="M569" s="19">
        <f t="shared" si="25"/>
        <v>0</v>
      </c>
      <c r="N569" s="19">
        <v>1</v>
      </c>
      <c r="O569" s="19">
        <f t="shared" si="26"/>
        <v>0</v>
      </c>
      <c r="P569" s="19">
        <v>0</v>
      </c>
      <c r="Q569" s="19">
        <v>0</v>
      </c>
      <c r="R569" s="19">
        <v>0</v>
      </c>
      <c r="S569" s="19">
        <v>1</v>
      </c>
      <c r="T569" s="19">
        <v>0</v>
      </c>
      <c r="U569" t="s">
        <v>877</v>
      </c>
      <c r="V569" s="19">
        <v>570</v>
      </c>
      <c r="W569" s="20">
        <v>0.27102203842912997</v>
      </c>
      <c r="X569" s="8"/>
    </row>
    <row r="570" spans="1:24" x14ac:dyDescent="0.25">
      <c r="A570" s="23" t="s">
        <v>1512</v>
      </c>
      <c r="B570" s="18" t="s">
        <v>878</v>
      </c>
      <c r="C570" s="18" t="s">
        <v>7</v>
      </c>
      <c r="D570" s="5" t="s">
        <v>832</v>
      </c>
      <c r="E570" s="19">
        <v>0</v>
      </c>
      <c r="F570" s="19">
        <v>0</v>
      </c>
      <c r="G570" s="19">
        <v>0</v>
      </c>
      <c r="H570" s="19">
        <v>0</v>
      </c>
      <c r="I570" s="19">
        <v>1</v>
      </c>
      <c r="J570" s="19">
        <v>1</v>
      </c>
      <c r="K570" s="19">
        <f t="shared" si="24"/>
        <v>0</v>
      </c>
      <c r="L570" s="19">
        <v>1</v>
      </c>
      <c r="M570" s="19">
        <f t="shared" si="25"/>
        <v>0</v>
      </c>
      <c r="N570" s="19">
        <v>1</v>
      </c>
      <c r="O570" s="19">
        <f t="shared" si="26"/>
        <v>0</v>
      </c>
      <c r="P570" s="19">
        <v>0</v>
      </c>
      <c r="Q570" s="19">
        <v>0</v>
      </c>
      <c r="R570" s="19">
        <v>0</v>
      </c>
      <c r="S570" s="19">
        <v>1</v>
      </c>
      <c r="T570" s="19">
        <v>0</v>
      </c>
      <c r="U570" t="s">
        <v>879</v>
      </c>
      <c r="V570" s="19">
        <v>571</v>
      </c>
      <c r="W570" s="20">
        <v>0.12725208026679799</v>
      </c>
      <c r="X570" s="8"/>
    </row>
    <row r="571" spans="1:24" x14ac:dyDescent="0.25">
      <c r="A571" s="23" t="s">
        <v>1513</v>
      </c>
      <c r="B571" s="18" t="s">
        <v>880</v>
      </c>
      <c r="C571" s="18" t="s">
        <v>7</v>
      </c>
      <c r="D571" s="5" t="s">
        <v>832</v>
      </c>
      <c r="E571" s="19">
        <v>0</v>
      </c>
      <c r="F571" s="19">
        <v>0</v>
      </c>
      <c r="G571" s="19">
        <v>0</v>
      </c>
      <c r="H571" s="19">
        <v>0</v>
      </c>
      <c r="I571" s="19">
        <v>1</v>
      </c>
      <c r="J571" s="19">
        <v>1</v>
      </c>
      <c r="K571" s="19">
        <f t="shared" si="24"/>
        <v>0</v>
      </c>
      <c r="L571" s="19">
        <v>1</v>
      </c>
      <c r="M571" s="19">
        <f t="shared" si="25"/>
        <v>0</v>
      </c>
      <c r="N571" s="19">
        <v>1</v>
      </c>
      <c r="O571" s="19">
        <f t="shared" si="26"/>
        <v>0</v>
      </c>
      <c r="P571" s="19">
        <v>0</v>
      </c>
      <c r="Q571" s="19">
        <v>0</v>
      </c>
      <c r="R571" s="19">
        <v>0</v>
      </c>
      <c r="S571" s="19">
        <v>1</v>
      </c>
      <c r="T571" s="19">
        <v>0</v>
      </c>
      <c r="U571" t="s">
        <v>881</v>
      </c>
      <c r="V571" s="19">
        <v>572</v>
      </c>
      <c r="W571" s="20">
        <v>0.121339215850989</v>
      </c>
      <c r="X571" s="8"/>
    </row>
    <row r="572" spans="1:24" x14ac:dyDescent="0.25">
      <c r="A572" s="23" t="s">
        <v>1514</v>
      </c>
      <c r="B572" s="18" t="s">
        <v>882</v>
      </c>
      <c r="C572" s="18" t="s">
        <v>7</v>
      </c>
      <c r="D572" s="5" t="s">
        <v>832</v>
      </c>
      <c r="E572" s="19">
        <v>0</v>
      </c>
      <c r="F572" s="19">
        <v>0</v>
      </c>
      <c r="G572" s="19">
        <v>0</v>
      </c>
      <c r="H572" s="19">
        <v>0</v>
      </c>
      <c r="I572" s="19">
        <v>1</v>
      </c>
      <c r="J572" s="19">
        <v>1</v>
      </c>
      <c r="K572" s="19">
        <f t="shared" si="24"/>
        <v>0</v>
      </c>
      <c r="L572" s="19">
        <v>1</v>
      </c>
      <c r="M572" s="19">
        <f t="shared" si="25"/>
        <v>0</v>
      </c>
      <c r="N572" s="19">
        <v>1</v>
      </c>
      <c r="O572" s="19">
        <f t="shared" si="26"/>
        <v>0</v>
      </c>
      <c r="P572" s="19">
        <v>0</v>
      </c>
      <c r="Q572" s="19">
        <v>0</v>
      </c>
      <c r="R572" s="19">
        <v>0</v>
      </c>
      <c r="S572" s="19">
        <v>1</v>
      </c>
      <c r="T572" s="19">
        <v>0</v>
      </c>
      <c r="U572" t="s">
        <v>883</v>
      </c>
      <c r="V572" s="19">
        <v>573</v>
      </c>
      <c r="W572" s="20">
        <v>0.173054627204897</v>
      </c>
      <c r="X572" s="8"/>
    </row>
    <row r="573" spans="1:24" x14ac:dyDescent="0.25">
      <c r="A573" s="23" t="s">
        <v>1515</v>
      </c>
      <c r="B573" s="18" t="s">
        <v>884</v>
      </c>
      <c r="C573" s="18" t="s">
        <v>7</v>
      </c>
      <c r="D573" s="5" t="s">
        <v>832</v>
      </c>
      <c r="E573" s="19">
        <v>0</v>
      </c>
      <c r="F573" s="19">
        <v>0</v>
      </c>
      <c r="G573" s="19">
        <v>0</v>
      </c>
      <c r="H573" s="19">
        <v>0</v>
      </c>
      <c r="I573" s="19">
        <v>1</v>
      </c>
      <c r="J573" s="19">
        <v>1</v>
      </c>
      <c r="K573" s="19">
        <f t="shared" si="24"/>
        <v>0</v>
      </c>
      <c r="L573" s="19">
        <v>1</v>
      </c>
      <c r="M573" s="19">
        <f t="shared" si="25"/>
        <v>0</v>
      </c>
      <c r="N573" s="19">
        <v>1</v>
      </c>
      <c r="O573" s="19">
        <f t="shared" si="26"/>
        <v>0</v>
      </c>
      <c r="P573" s="19">
        <v>0</v>
      </c>
      <c r="Q573" s="19">
        <v>0</v>
      </c>
      <c r="R573" s="19">
        <v>0</v>
      </c>
      <c r="S573" s="19">
        <v>1</v>
      </c>
      <c r="T573" s="19">
        <v>0</v>
      </c>
      <c r="U573" t="s">
        <v>885</v>
      </c>
      <c r="V573" s="19">
        <v>574</v>
      </c>
      <c r="W573" s="20">
        <v>4.9919377020390598E-3</v>
      </c>
      <c r="X573" s="8"/>
    </row>
    <row r="574" spans="1:24" x14ac:dyDescent="0.25">
      <c r="A574" s="23" t="s">
        <v>1516</v>
      </c>
      <c r="B574" s="18" t="s">
        <v>886</v>
      </c>
      <c r="C574" s="18" t="s">
        <v>7</v>
      </c>
      <c r="D574" s="5" t="s">
        <v>832</v>
      </c>
      <c r="E574" s="19">
        <v>0</v>
      </c>
      <c r="F574" s="19">
        <v>0</v>
      </c>
      <c r="G574" s="19">
        <v>0</v>
      </c>
      <c r="H574" s="19">
        <v>0</v>
      </c>
      <c r="I574" s="19">
        <v>1</v>
      </c>
      <c r="J574" s="19">
        <v>1</v>
      </c>
      <c r="K574" s="19">
        <f t="shared" si="24"/>
        <v>0</v>
      </c>
      <c r="L574" s="19">
        <v>1</v>
      </c>
      <c r="M574" s="19">
        <f t="shared" si="25"/>
        <v>0</v>
      </c>
      <c r="N574" s="19">
        <v>1</v>
      </c>
      <c r="O574" s="19">
        <f t="shared" si="26"/>
        <v>0</v>
      </c>
      <c r="P574" s="19">
        <v>0</v>
      </c>
      <c r="Q574" s="19">
        <v>0</v>
      </c>
      <c r="R574" s="19">
        <v>0</v>
      </c>
      <c r="S574" s="19">
        <v>1</v>
      </c>
      <c r="T574" s="19">
        <v>1</v>
      </c>
      <c r="U574" t="s">
        <v>887</v>
      </c>
      <c r="V574" s="19">
        <v>575</v>
      </c>
      <c r="W574" s="20">
        <v>9.3235363272073796E-2</v>
      </c>
      <c r="X574" s="8"/>
    </row>
    <row r="575" spans="1:24" x14ac:dyDescent="0.25">
      <c r="A575" s="23" t="s">
        <v>1517</v>
      </c>
      <c r="B575" s="18" t="s">
        <v>888</v>
      </c>
      <c r="C575" s="18" t="s">
        <v>7</v>
      </c>
      <c r="D575" s="5" t="s">
        <v>832</v>
      </c>
      <c r="E575" s="19">
        <v>0</v>
      </c>
      <c r="F575" s="19">
        <v>0</v>
      </c>
      <c r="G575" s="19">
        <v>0</v>
      </c>
      <c r="H575" s="19">
        <v>0</v>
      </c>
      <c r="I575" s="19">
        <v>1</v>
      </c>
      <c r="J575" s="19">
        <v>1</v>
      </c>
      <c r="K575" s="19">
        <f t="shared" si="24"/>
        <v>0</v>
      </c>
      <c r="L575" s="19">
        <v>1</v>
      </c>
      <c r="M575" s="19">
        <f t="shared" si="25"/>
        <v>0</v>
      </c>
      <c r="N575" s="19">
        <v>1</v>
      </c>
      <c r="O575" s="19">
        <f t="shared" si="26"/>
        <v>0</v>
      </c>
      <c r="P575" s="19">
        <v>0</v>
      </c>
      <c r="Q575" s="19">
        <v>0</v>
      </c>
      <c r="R575" s="19">
        <v>0</v>
      </c>
      <c r="S575" s="19">
        <v>1</v>
      </c>
      <c r="T575" s="19">
        <v>1</v>
      </c>
      <c r="U575" t="s">
        <v>889</v>
      </c>
      <c r="V575" s="19">
        <v>576</v>
      </c>
      <c r="W575" s="20">
        <v>0.22640379035223901</v>
      </c>
      <c r="X575" s="8"/>
    </row>
    <row r="576" spans="1:24" x14ac:dyDescent="0.25">
      <c r="A576" s="23" t="s">
        <v>1518</v>
      </c>
      <c r="B576" s="18" t="s">
        <v>890</v>
      </c>
      <c r="C576" s="18" t="s">
        <v>7</v>
      </c>
      <c r="D576" s="5" t="s">
        <v>832</v>
      </c>
      <c r="E576" s="19">
        <v>0</v>
      </c>
      <c r="F576" s="19">
        <v>0</v>
      </c>
      <c r="G576" s="19">
        <v>0</v>
      </c>
      <c r="H576" s="19">
        <v>0</v>
      </c>
      <c r="I576" s="19">
        <v>1</v>
      </c>
      <c r="J576" s="19">
        <v>1</v>
      </c>
      <c r="K576" s="19">
        <f t="shared" si="24"/>
        <v>0</v>
      </c>
      <c r="L576" s="19">
        <v>1</v>
      </c>
      <c r="M576" s="19">
        <f t="shared" si="25"/>
        <v>0</v>
      </c>
      <c r="N576" s="19">
        <v>1</v>
      </c>
      <c r="O576" s="19">
        <f t="shared" si="26"/>
        <v>0</v>
      </c>
      <c r="P576" s="19">
        <v>0</v>
      </c>
      <c r="Q576" s="19">
        <v>0</v>
      </c>
      <c r="R576" s="19">
        <v>0</v>
      </c>
      <c r="S576" s="19">
        <v>1</v>
      </c>
      <c r="T576" s="19">
        <v>1</v>
      </c>
      <c r="U576" t="s">
        <v>891</v>
      </c>
      <c r="V576" s="19">
        <v>577</v>
      </c>
      <c r="W576" s="20">
        <v>9.6793344113691601E-2</v>
      </c>
      <c r="X576" s="8"/>
    </row>
    <row r="577" spans="1:24" x14ac:dyDescent="0.25">
      <c r="A577" s="23" t="s">
        <v>1519</v>
      </c>
      <c r="B577" s="18" t="s">
        <v>892</v>
      </c>
      <c r="C577" s="18" t="s">
        <v>7</v>
      </c>
      <c r="D577" s="5" t="s">
        <v>832</v>
      </c>
      <c r="E577" s="19">
        <v>0</v>
      </c>
      <c r="F577" s="19">
        <v>0</v>
      </c>
      <c r="G577" s="19">
        <v>0</v>
      </c>
      <c r="H577" s="19">
        <v>0</v>
      </c>
      <c r="I577" s="19">
        <v>1</v>
      </c>
      <c r="J577" s="19">
        <v>1</v>
      </c>
      <c r="K577" s="19">
        <f t="shared" ref="K577:K612" si="27">IF(I577=1,IF(J577=1,0,1),0)</f>
        <v>0</v>
      </c>
      <c r="L577" s="19">
        <v>1</v>
      </c>
      <c r="M577" s="19">
        <f t="shared" ref="M577:M612" si="28">IF(I577=1,IF(L577=1,0,1),0)</f>
        <v>0</v>
      </c>
      <c r="N577" s="19">
        <v>1</v>
      </c>
      <c r="O577" s="19">
        <f t="shared" ref="O577:O612" si="29">IF(I577=1,IF(N577=1,0,1),0)</f>
        <v>0</v>
      </c>
      <c r="P577" s="19">
        <v>0</v>
      </c>
      <c r="Q577" s="19">
        <v>0</v>
      </c>
      <c r="R577" s="19">
        <v>0</v>
      </c>
      <c r="S577" s="19">
        <v>1</v>
      </c>
      <c r="T577" s="19">
        <v>1</v>
      </c>
      <c r="U577" t="s">
        <v>893</v>
      </c>
      <c r="V577" s="19">
        <v>578</v>
      </c>
      <c r="W577" s="20">
        <v>4.32846253208738E-2</v>
      </c>
      <c r="X577" s="8"/>
    </row>
    <row r="578" spans="1:24" x14ac:dyDescent="0.25">
      <c r="A578" s="23" t="s">
        <v>1520</v>
      </c>
      <c r="B578" s="18" t="s">
        <v>894</v>
      </c>
      <c r="C578" s="18" t="s">
        <v>7</v>
      </c>
      <c r="D578" s="5" t="s">
        <v>832</v>
      </c>
      <c r="E578" s="19">
        <v>0</v>
      </c>
      <c r="F578" s="19">
        <v>0</v>
      </c>
      <c r="G578" s="19">
        <v>0</v>
      </c>
      <c r="H578" s="19">
        <v>0</v>
      </c>
      <c r="I578" s="19">
        <v>1</v>
      </c>
      <c r="J578" s="19">
        <v>1</v>
      </c>
      <c r="K578" s="19">
        <f t="shared" si="27"/>
        <v>0</v>
      </c>
      <c r="L578" s="19">
        <v>1</v>
      </c>
      <c r="M578" s="19">
        <f t="shared" si="28"/>
        <v>0</v>
      </c>
      <c r="N578" s="19">
        <v>1</v>
      </c>
      <c r="O578" s="19">
        <f t="shared" si="29"/>
        <v>0</v>
      </c>
      <c r="P578" s="19">
        <v>0</v>
      </c>
      <c r="Q578" s="19">
        <v>0</v>
      </c>
      <c r="R578" s="19">
        <v>0</v>
      </c>
      <c r="S578" s="19">
        <v>1</v>
      </c>
      <c r="T578" s="19">
        <v>1</v>
      </c>
      <c r="U578" t="s">
        <v>895</v>
      </c>
      <c r="V578" s="19">
        <v>579</v>
      </c>
      <c r="W578" s="20">
        <v>7.4818144247514901E-2</v>
      </c>
      <c r="X578" s="8"/>
    </row>
    <row r="579" spans="1:24" x14ac:dyDescent="0.25">
      <c r="A579" s="23" t="s">
        <v>1521</v>
      </c>
      <c r="B579" s="18" t="s">
        <v>896</v>
      </c>
      <c r="C579" s="18" t="s">
        <v>7</v>
      </c>
      <c r="D579" s="5" t="s">
        <v>832</v>
      </c>
      <c r="E579" s="19">
        <v>0</v>
      </c>
      <c r="F579" s="19">
        <v>0</v>
      </c>
      <c r="G579" s="19">
        <v>0</v>
      </c>
      <c r="H579" s="19">
        <v>0</v>
      </c>
      <c r="I579" s="19">
        <v>1</v>
      </c>
      <c r="J579" s="19">
        <v>1</v>
      </c>
      <c r="K579" s="19">
        <f t="shared" si="27"/>
        <v>0</v>
      </c>
      <c r="L579" s="19">
        <v>1</v>
      </c>
      <c r="M579" s="19">
        <f t="shared" si="28"/>
        <v>0</v>
      </c>
      <c r="N579" s="19">
        <v>1</v>
      </c>
      <c r="O579" s="19">
        <f t="shared" si="29"/>
        <v>0</v>
      </c>
      <c r="P579" s="19">
        <v>0</v>
      </c>
      <c r="Q579" s="19">
        <v>0</v>
      </c>
      <c r="R579" s="19">
        <v>0</v>
      </c>
      <c r="S579" s="19">
        <v>1</v>
      </c>
      <c r="T579" s="19">
        <v>1</v>
      </c>
      <c r="U579" t="s">
        <v>897</v>
      </c>
      <c r="V579" s="19">
        <v>580</v>
      </c>
      <c r="W579" s="20">
        <v>3.5369903552208599E-2</v>
      </c>
      <c r="X579" s="8"/>
    </row>
    <row r="580" spans="1:24" x14ac:dyDescent="0.25">
      <c r="A580" s="23" t="s">
        <v>1522</v>
      </c>
      <c r="B580" s="18" t="s">
        <v>898</v>
      </c>
      <c r="C580" s="18" t="s">
        <v>7</v>
      </c>
      <c r="D580" s="5" t="s">
        <v>832</v>
      </c>
      <c r="E580" s="19">
        <v>0</v>
      </c>
      <c r="F580" s="19">
        <v>0</v>
      </c>
      <c r="G580" s="19">
        <v>0</v>
      </c>
      <c r="H580" s="19">
        <v>0</v>
      </c>
      <c r="I580" s="19">
        <v>1</v>
      </c>
      <c r="J580" s="19">
        <v>1</v>
      </c>
      <c r="K580" s="19">
        <f t="shared" si="27"/>
        <v>0</v>
      </c>
      <c r="L580" s="19">
        <v>1</v>
      </c>
      <c r="M580" s="19">
        <f t="shared" si="28"/>
        <v>0</v>
      </c>
      <c r="N580" s="19">
        <v>1</v>
      </c>
      <c r="O580" s="19">
        <f t="shared" si="29"/>
        <v>0</v>
      </c>
      <c r="P580" s="19">
        <v>0</v>
      </c>
      <c r="Q580" s="19">
        <v>0</v>
      </c>
      <c r="R580" s="19">
        <v>0</v>
      </c>
      <c r="S580" s="19">
        <v>1</v>
      </c>
      <c r="T580" s="19">
        <v>1</v>
      </c>
      <c r="U580" t="s">
        <v>899</v>
      </c>
      <c r="V580" s="19">
        <v>581</v>
      </c>
      <c r="W580" s="20">
        <v>2.7585583262202E-2</v>
      </c>
      <c r="X580" s="8"/>
    </row>
    <row r="581" spans="1:24" x14ac:dyDescent="0.25">
      <c r="A581" s="23" t="s">
        <v>1523</v>
      </c>
      <c r="B581" s="9" t="s">
        <v>900</v>
      </c>
      <c r="C581" s="9" t="s">
        <v>4</v>
      </c>
      <c r="D581" s="5" t="s">
        <v>832</v>
      </c>
      <c r="E581" s="10">
        <v>0</v>
      </c>
      <c r="F581" s="10">
        <v>1</v>
      </c>
      <c r="G581" s="10">
        <v>0</v>
      </c>
      <c r="H581" s="10">
        <v>0</v>
      </c>
      <c r="I581" s="10">
        <v>0</v>
      </c>
      <c r="J581" s="10">
        <v>0</v>
      </c>
      <c r="K581" s="10">
        <f t="shared" si="27"/>
        <v>0</v>
      </c>
      <c r="L581" s="10">
        <v>0</v>
      </c>
      <c r="M581" s="10">
        <f t="shared" si="28"/>
        <v>0</v>
      </c>
      <c r="N581" s="10">
        <v>0</v>
      </c>
      <c r="O581" s="10">
        <f t="shared" si="29"/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V581" s="10">
        <v>582</v>
      </c>
      <c r="W581" s="11">
        <v>0.1655764818218925</v>
      </c>
      <c r="X581" s="8"/>
    </row>
    <row r="582" spans="1:24" x14ac:dyDescent="0.25">
      <c r="A582" s="23" t="s">
        <v>1524</v>
      </c>
      <c r="B582" s="12" t="s">
        <v>901</v>
      </c>
      <c r="C582" s="12" t="s">
        <v>5</v>
      </c>
      <c r="D582" s="5" t="s">
        <v>832</v>
      </c>
      <c r="E582" s="13">
        <v>0</v>
      </c>
      <c r="F582" s="13">
        <v>0</v>
      </c>
      <c r="G582" s="13">
        <v>1</v>
      </c>
      <c r="H582" s="13">
        <v>0</v>
      </c>
      <c r="I582" s="13">
        <v>0</v>
      </c>
      <c r="J582" s="13">
        <v>0</v>
      </c>
      <c r="K582" s="13">
        <f t="shared" si="27"/>
        <v>0</v>
      </c>
      <c r="L582" s="13">
        <v>0</v>
      </c>
      <c r="M582" s="13">
        <f t="shared" si="28"/>
        <v>0</v>
      </c>
      <c r="N582" s="13">
        <v>0</v>
      </c>
      <c r="O582" s="13">
        <f t="shared" si="29"/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V582" s="13">
        <v>583</v>
      </c>
      <c r="W582" s="14">
        <v>4.7365668882688894E-2</v>
      </c>
      <c r="X582" s="8"/>
    </row>
    <row r="583" spans="1:24" x14ac:dyDescent="0.25">
      <c r="A583" s="23" t="s">
        <v>1525</v>
      </c>
      <c r="B583" s="15" t="s">
        <v>902</v>
      </c>
      <c r="C583" s="15" t="s">
        <v>25</v>
      </c>
      <c r="D583" s="5" t="s">
        <v>832</v>
      </c>
      <c r="E583" s="16">
        <v>0</v>
      </c>
      <c r="F583" s="16">
        <v>0</v>
      </c>
      <c r="G583" s="16">
        <v>0</v>
      </c>
      <c r="H583" s="16">
        <v>1</v>
      </c>
      <c r="I583" s="16">
        <v>0</v>
      </c>
      <c r="J583" s="16">
        <v>0</v>
      </c>
      <c r="K583" s="16">
        <f t="shared" si="27"/>
        <v>0</v>
      </c>
      <c r="L583" s="16">
        <v>0</v>
      </c>
      <c r="M583" s="16">
        <f t="shared" si="28"/>
        <v>0</v>
      </c>
      <c r="N583" s="16">
        <v>0</v>
      </c>
      <c r="O583" s="16">
        <f t="shared" si="29"/>
        <v>0</v>
      </c>
      <c r="P583" s="16">
        <v>0</v>
      </c>
      <c r="Q583" s="16">
        <v>0</v>
      </c>
      <c r="R583" s="16">
        <v>0</v>
      </c>
      <c r="S583" s="16">
        <v>0</v>
      </c>
      <c r="T583" s="16">
        <v>0</v>
      </c>
      <c r="V583" s="16">
        <v>584</v>
      </c>
      <c r="W583" s="17">
        <v>4.7365668882688894E-2</v>
      </c>
      <c r="X583" s="8"/>
    </row>
    <row r="584" spans="1:24" x14ac:dyDescent="0.25">
      <c r="A584" s="23" t="s">
        <v>1526</v>
      </c>
      <c r="B584" s="18" t="s">
        <v>903</v>
      </c>
      <c r="C584" s="18" t="s">
        <v>7</v>
      </c>
      <c r="D584" s="5" t="s">
        <v>832</v>
      </c>
      <c r="E584" s="19">
        <v>0</v>
      </c>
      <c r="F584" s="19">
        <v>0</v>
      </c>
      <c r="G584" s="19">
        <v>0</v>
      </c>
      <c r="H584" s="19">
        <v>0</v>
      </c>
      <c r="I584" s="19">
        <v>1</v>
      </c>
      <c r="J584" s="19">
        <v>1</v>
      </c>
      <c r="K584" s="19">
        <f t="shared" si="27"/>
        <v>0</v>
      </c>
      <c r="L584" s="19">
        <v>1</v>
      </c>
      <c r="M584" s="19">
        <f t="shared" si="28"/>
        <v>0</v>
      </c>
      <c r="N584" s="19">
        <v>1</v>
      </c>
      <c r="O584" s="19">
        <f t="shared" si="29"/>
        <v>0</v>
      </c>
      <c r="P584" s="19">
        <v>0</v>
      </c>
      <c r="Q584" s="19">
        <v>0</v>
      </c>
      <c r="R584" s="19">
        <v>0</v>
      </c>
      <c r="S584" s="19">
        <v>1</v>
      </c>
      <c r="T584" s="19">
        <v>0</v>
      </c>
      <c r="U584" t="s">
        <v>904</v>
      </c>
      <c r="V584" s="19">
        <v>585</v>
      </c>
      <c r="W584" s="20">
        <v>2.9657689193451499E-2</v>
      </c>
      <c r="X584" s="8"/>
    </row>
    <row r="585" spans="1:24" x14ac:dyDescent="0.25">
      <c r="A585" s="23" t="s">
        <v>1527</v>
      </c>
      <c r="B585" s="18" t="s">
        <v>905</v>
      </c>
      <c r="C585" s="18" t="s">
        <v>7</v>
      </c>
      <c r="D585" s="5" t="s">
        <v>832</v>
      </c>
      <c r="E585" s="19">
        <v>0</v>
      </c>
      <c r="F585" s="19">
        <v>0</v>
      </c>
      <c r="G585" s="19">
        <v>0</v>
      </c>
      <c r="H585" s="19">
        <v>0</v>
      </c>
      <c r="I585" s="19">
        <v>1</v>
      </c>
      <c r="J585" s="19">
        <v>1</v>
      </c>
      <c r="K585" s="19">
        <f t="shared" si="27"/>
        <v>0</v>
      </c>
      <c r="L585" s="19">
        <v>1</v>
      </c>
      <c r="M585" s="19">
        <f t="shared" si="28"/>
        <v>0</v>
      </c>
      <c r="N585" s="19">
        <v>1</v>
      </c>
      <c r="O585" s="19">
        <f t="shared" si="29"/>
        <v>0</v>
      </c>
      <c r="P585" s="19">
        <v>0</v>
      </c>
      <c r="Q585" s="19">
        <v>0</v>
      </c>
      <c r="R585" s="19">
        <v>0</v>
      </c>
      <c r="S585" s="19">
        <v>1</v>
      </c>
      <c r="T585" s="19">
        <v>0</v>
      </c>
      <c r="U585" t="s">
        <v>906</v>
      </c>
      <c r="V585" s="19">
        <v>586</v>
      </c>
      <c r="W585" s="20">
        <v>1.7707979689237398E-2</v>
      </c>
      <c r="X585" s="8"/>
    </row>
    <row r="586" spans="1:24" x14ac:dyDescent="0.25">
      <c r="A586" s="23" t="s">
        <v>1528</v>
      </c>
      <c r="B586" s="12" t="s">
        <v>907</v>
      </c>
      <c r="C586" s="12" t="s">
        <v>5</v>
      </c>
      <c r="D586" s="5" t="s">
        <v>832</v>
      </c>
      <c r="E586" s="13">
        <v>0</v>
      </c>
      <c r="F586" s="13">
        <v>0</v>
      </c>
      <c r="G586" s="13">
        <v>1</v>
      </c>
      <c r="H586" s="13">
        <v>0</v>
      </c>
      <c r="I586" s="13">
        <v>0</v>
      </c>
      <c r="J586" s="13">
        <v>0</v>
      </c>
      <c r="K586" s="13">
        <f t="shared" si="27"/>
        <v>0</v>
      </c>
      <c r="L586" s="13">
        <v>0</v>
      </c>
      <c r="M586" s="13">
        <f t="shared" si="28"/>
        <v>0</v>
      </c>
      <c r="N586" s="13">
        <v>0</v>
      </c>
      <c r="O586" s="13">
        <f t="shared" si="29"/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V586" s="13">
        <v>587</v>
      </c>
      <c r="W586" s="14">
        <v>0.1182108129392036</v>
      </c>
      <c r="X586" s="8"/>
    </row>
    <row r="587" spans="1:24" x14ac:dyDescent="0.25">
      <c r="A587" s="23" t="s">
        <v>1529</v>
      </c>
      <c r="B587" s="15" t="s">
        <v>907</v>
      </c>
      <c r="C587" s="15" t="s">
        <v>25</v>
      </c>
      <c r="D587" s="5" t="s">
        <v>832</v>
      </c>
      <c r="E587" s="16">
        <v>0</v>
      </c>
      <c r="F587" s="16">
        <v>0</v>
      </c>
      <c r="G587" s="16">
        <v>0</v>
      </c>
      <c r="H587" s="16">
        <v>1</v>
      </c>
      <c r="I587" s="16">
        <v>0</v>
      </c>
      <c r="J587" s="16">
        <v>0</v>
      </c>
      <c r="K587" s="16">
        <f t="shared" si="27"/>
        <v>0</v>
      </c>
      <c r="L587" s="16">
        <v>0</v>
      </c>
      <c r="M587" s="16">
        <f t="shared" si="28"/>
        <v>0</v>
      </c>
      <c r="N587" s="16">
        <v>0</v>
      </c>
      <c r="O587" s="16">
        <f t="shared" si="29"/>
        <v>0</v>
      </c>
      <c r="P587" s="16">
        <v>0</v>
      </c>
      <c r="Q587" s="16">
        <v>0</v>
      </c>
      <c r="R587" s="16">
        <v>0</v>
      </c>
      <c r="S587" s="16">
        <v>0</v>
      </c>
      <c r="T587" s="16">
        <v>0</v>
      </c>
      <c r="V587" s="16">
        <v>588</v>
      </c>
      <c r="W587" s="17">
        <v>0.1182108129392036</v>
      </c>
      <c r="X587" s="8"/>
    </row>
    <row r="588" spans="1:24" x14ac:dyDescent="0.25">
      <c r="A588" s="23" t="s">
        <v>1530</v>
      </c>
      <c r="B588" s="18" t="s">
        <v>908</v>
      </c>
      <c r="C588" s="18" t="s">
        <v>7</v>
      </c>
      <c r="D588" s="5" t="s">
        <v>832</v>
      </c>
      <c r="E588" s="19">
        <v>0</v>
      </c>
      <c r="F588" s="19">
        <v>0</v>
      </c>
      <c r="G588" s="19">
        <v>0</v>
      </c>
      <c r="H588" s="19">
        <v>0</v>
      </c>
      <c r="I588" s="19">
        <v>1</v>
      </c>
      <c r="J588" s="19">
        <v>1</v>
      </c>
      <c r="K588" s="19">
        <f t="shared" si="27"/>
        <v>0</v>
      </c>
      <c r="L588" s="19">
        <v>1</v>
      </c>
      <c r="M588" s="19">
        <f t="shared" si="28"/>
        <v>0</v>
      </c>
      <c r="N588" s="19">
        <v>1</v>
      </c>
      <c r="O588" s="19">
        <f t="shared" si="29"/>
        <v>0</v>
      </c>
      <c r="P588" s="19">
        <v>0</v>
      </c>
      <c r="Q588" s="19">
        <v>0</v>
      </c>
      <c r="R588" s="19">
        <v>0</v>
      </c>
      <c r="S588" s="19">
        <v>1</v>
      </c>
      <c r="T588" s="19">
        <v>0</v>
      </c>
      <c r="U588" t="s">
        <v>909</v>
      </c>
      <c r="V588" s="19">
        <v>589</v>
      </c>
      <c r="W588" s="20">
        <v>2.00905406388086E-2</v>
      </c>
      <c r="X588" s="8"/>
    </row>
    <row r="589" spans="1:24" x14ac:dyDescent="0.25">
      <c r="A589" s="23" t="s">
        <v>1531</v>
      </c>
      <c r="B589" s="18" t="s">
        <v>910</v>
      </c>
      <c r="C589" s="18" t="s">
        <v>7</v>
      </c>
      <c r="D589" s="5" t="s">
        <v>832</v>
      </c>
      <c r="E589" s="19">
        <v>0</v>
      </c>
      <c r="F589" s="19">
        <v>0</v>
      </c>
      <c r="G589" s="19">
        <v>0</v>
      </c>
      <c r="H589" s="19">
        <v>0</v>
      </c>
      <c r="I589" s="19">
        <v>1</v>
      </c>
      <c r="J589" s="19">
        <v>1</v>
      </c>
      <c r="K589" s="19">
        <f t="shared" si="27"/>
        <v>0</v>
      </c>
      <c r="L589" s="19">
        <v>1</v>
      </c>
      <c r="M589" s="19">
        <f t="shared" si="28"/>
        <v>0</v>
      </c>
      <c r="N589" s="19">
        <v>1</v>
      </c>
      <c r="O589" s="19">
        <f t="shared" si="29"/>
        <v>0</v>
      </c>
      <c r="P589" s="19">
        <v>0</v>
      </c>
      <c r="Q589" s="19">
        <v>0</v>
      </c>
      <c r="R589" s="19">
        <v>0</v>
      </c>
      <c r="S589" s="19">
        <v>1</v>
      </c>
      <c r="T589" s="19">
        <v>0</v>
      </c>
      <c r="U589" t="s">
        <v>911</v>
      </c>
      <c r="V589" s="19">
        <v>590</v>
      </c>
      <c r="W589" s="20">
        <v>6.2708192465114193E-2</v>
      </c>
      <c r="X589" s="8"/>
    </row>
    <row r="590" spans="1:24" x14ac:dyDescent="0.25">
      <c r="A590" s="23" t="s">
        <v>1532</v>
      </c>
      <c r="B590" s="18" t="s">
        <v>912</v>
      </c>
      <c r="C590" s="18" t="s">
        <v>7</v>
      </c>
      <c r="D590" s="5" t="s">
        <v>832</v>
      </c>
      <c r="E590" s="19">
        <v>0</v>
      </c>
      <c r="F590" s="19">
        <v>0</v>
      </c>
      <c r="G590" s="19">
        <v>0</v>
      </c>
      <c r="H590" s="19">
        <v>0</v>
      </c>
      <c r="I590" s="19">
        <v>1</v>
      </c>
      <c r="J590" s="19">
        <v>1</v>
      </c>
      <c r="K590" s="19">
        <f t="shared" si="27"/>
        <v>0</v>
      </c>
      <c r="L590" s="19">
        <v>1</v>
      </c>
      <c r="M590" s="19">
        <f t="shared" si="28"/>
        <v>0</v>
      </c>
      <c r="N590" s="19">
        <v>1</v>
      </c>
      <c r="O590" s="19">
        <f t="shared" si="29"/>
        <v>0</v>
      </c>
      <c r="P590" s="19">
        <v>0</v>
      </c>
      <c r="Q590" s="19">
        <v>0</v>
      </c>
      <c r="R590" s="19">
        <v>0</v>
      </c>
      <c r="S590" s="19">
        <v>1</v>
      </c>
      <c r="T590" s="19">
        <v>1</v>
      </c>
      <c r="U590" t="s">
        <v>913</v>
      </c>
      <c r="V590" s="19">
        <v>591</v>
      </c>
      <c r="W590" s="20">
        <v>3.5412079835280802E-2</v>
      </c>
      <c r="X590" s="8"/>
    </row>
    <row r="591" spans="1:24" x14ac:dyDescent="0.25">
      <c r="A591" s="23" t="s">
        <v>1533</v>
      </c>
      <c r="B591" s="9" t="s">
        <v>914</v>
      </c>
      <c r="C591" s="9" t="s">
        <v>4</v>
      </c>
      <c r="D591" s="5" t="s">
        <v>832</v>
      </c>
      <c r="E591" s="10">
        <v>0</v>
      </c>
      <c r="F591" s="10">
        <v>1</v>
      </c>
      <c r="G591" s="10">
        <v>0</v>
      </c>
      <c r="H591" s="10">
        <v>0</v>
      </c>
      <c r="I591" s="10">
        <v>0</v>
      </c>
      <c r="J591" s="10">
        <v>0</v>
      </c>
      <c r="K591" s="10">
        <f t="shared" si="27"/>
        <v>0</v>
      </c>
      <c r="L591" s="10">
        <v>0</v>
      </c>
      <c r="M591" s="10">
        <f t="shared" si="28"/>
        <v>0</v>
      </c>
      <c r="N591" s="10">
        <v>0</v>
      </c>
      <c r="O591" s="10">
        <f t="shared" si="29"/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V591" s="10">
        <v>592</v>
      </c>
      <c r="W591" s="11">
        <v>0.161296077104848</v>
      </c>
      <c r="X591" s="8"/>
    </row>
    <row r="592" spans="1:24" x14ac:dyDescent="0.25">
      <c r="A592" s="23" t="s">
        <v>1534</v>
      </c>
      <c r="B592" s="12" t="s">
        <v>914</v>
      </c>
      <c r="C592" s="12" t="s">
        <v>5</v>
      </c>
      <c r="D592" s="5" t="s">
        <v>832</v>
      </c>
      <c r="E592" s="13">
        <v>0</v>
      </c>
      <c r="F592" s="13">
        <v>0</v>
      </c>
      <c r="G592" s="13">
        <v>1</v>
      </c>
      <c r="H592" s="13">
        <v>0</v>
      </c>
      <c r="I592" s="13">
        <v>0</v>
      </c>
      <c r="J592" s="13">
        <v>0</v>
      </c>
      <c r="K592" s="13">
        <f t="shared" si="27"/>
        <v>0</v>
      </c>
      <c r="L592" s="13">
        <v>0</v>
      </c>
      <c r="M592" s="13">
        <f t="shared" si="28"/>
        <v>0</v>
      </c>
      <c r="N592" s="13">
        <v>0</v>
      </c>
      <c r="O592" s="13">
        <f t="shared" si="29"/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V592" s="13">
        <v>593</v>
      </c>
      <c r="W592" s="14">
        <v>0.161296077104848</v>
      </c>
      <c r="X592" s="8"/>
    </row>
    <row r="593" spans="1:24" x14ac:dyDescent="0.25">
      <c r="A593" s="23" t="s">
        <v>1535</v>
      </c>
      <c r="B593" s="15" t="s">
        <v>914</v>
      </c>
      <c r="C593" s="15" t="s">
        <v>25</v>
      </c>
      <c r="D593" s="5" t="s">
        <v>832</v>
      </c>
      <c r="E593" s="16">
        <v>0</v>
      </c>
      <c r="F593" s="16">
        <v>0</v>
      </c>
      <c r="G593" s="16">
        <v>0</v>
      </c>
      <c r="H593" s="16">
        <v>1</v>
      </c>
      <c r="I593" s="16">
        <v>0</v>
      </c>
      <c r="J593" s="16">
        <v>0</v>
      </c>
      <c r="K593" s="16">
        <f t="shared" si="27"/>
        <v>0</v>
      </c>
      <c r="L593" s="16">
        <v>0</v>
      </c>
      <c r="M593" s="16">
        <f t="shared" si="28"/>
        <v>0</v>
      </c>
      <c r="N593" s="16">
        <v>0</v>
      </c>
      <c r="O593" s="16">
        <f t="shared" si="29"/>
        <v>0</v>
      </c>
      <c r="P593" s="16">
        <v>0</v>
      </c>
      <c r="Q593" s="16">
        <v>0</v>
      </c>
      <c r="R593" s="16">
        <v>0</v>
      </c>
      <c r="S593" s="16">
        <v>0</v>
      </c>
      <c r="T593" s="16">
        <v>0</v>
      </c>
      <c r="V593" s="16">
        <v>594</v>
      </c>
      <c r="W593" s="17">
        <v>0.161296077104848</v>
      </c>
      <c r="X593" s="8"/>
    </row>
    <row r="594" spans="1:24" x14ac:dyDescent="0.25">
      <c r="A594" s="23" t="s">
        <v>1536</v>
      </c>
      <c r="B594" s="18" t="s">
        <v>915</v>
      </c>
      <c r="C594" s="18" t="s">
        <v>7</v>
      </c>
      <c r="D594" s="5" t="s">
        <v>832</v>
      </c>
      <c r="E594" s="19">
        <v>0</v>
      </c>
      <c r="F594" s="19">
        <v>0</v>
      </c>
      <c r="G594" s="19">
        <v>0</v>
      </c>
      <c r="H594" s="19">
        <v>0</v>
      </c>
      <c r="I594" s="19">
        <v>1</v>
      </c>
      <c r="J594" s="19">
        <v>1</v>
      </c>
      <c r="K594" s="19">
        <f t="shared" si="27"/>
        <v>0</v>
      </c>
      <c r="L594" s="19">
        <v>0</v>
      </c>
      <c r="M594" s="19">
        <f t="shared" si="28"/>
        <v>1</v>
      </c>
      <c r="N594" s="19">
        <v>0</v>
      </c>
      <c r="O594" s="19">
        <f t="shared" si="29"/>
        <v>1</v>
      </c>
      <c r="P594" s="19">
        <v>0</v>
      </c>
      <c r="Q594" s="19">
        <v>0</v>
      </c>
      <c r="R594" s="19">
        <v>0</v>
      </c>
      <c r="S594" s="19">
        <v>1</v>
      </c>
      <c r="T594" s="19">
        <v>1</v>
      </c>
      <c r="U594" t="s">
        <v>916</v>
      </c>
      <c r="V594" s="19">
        <v>595</v>
      </c>
      <c r="W594" s="20">
        <v>0.161296077104848</v>
      </c>
      <c r="X594" s="8"/>
    </row>
    <row r="595" spans="1:24" x14ac:dyDescent="0.25">
      <c r="A595" s="23" t="s">
        <v>1537</v>
      </c>
      <c r="B595" s="9" t="s">
        <v>917</v>
      </c>
      <c r="C595" s="9" t="s">
        <v>4</v>
      </c>
      <c r="D595" s="5" t="s">
        <v>832</v>
      </c>
      <c r="E595" s="10">
        <v>0</v>
      </c>
      <c r="F595" s="10">
        <v>1</v>
      </c>
      <c r="G595" s="10">
        <v>0</v>
      </c>
      <c r="H595" s="10">
        <v>0</v>
      </c>
      <c r="I595" s="10">
        <v>0</v>
      </c>
      <c r="J595" s="10">
        <v>0</v>
      </c>
      <c r="K595" s="10">
        <f t="shared" si="27"/>
        <v>0</v>
      </c>
      <c r="L595" s="10">
        <v>0</v>
      </c>
      <c r="M595" s="10">
        <f t="shared" si="28"/>
        <v>0</v>
      </c>
      <c r="N595" s="10">
        <v>0</v>
      </c>
      <c r="O595" s="10">
        <f t="shared" si="29"/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V595" s="10">
        <v>596</v>
      </c>
      <c r="W595" s="11">
        <v>0.97482866343733743</v>
      </c>
      <c r="X595" s="8"/>
    </row>
    <row r="596" spans="1:24" x14ac:dyDescent="0.25">
      <c r="A596" s="23" t="s">
        <v>1538</v>
      </c>
      <c r="B596" s="12" t="s">
        <v>918</v>
      </c>
      <c r="C596" s="12" t="s">
        <v>5</v>
      </c>
      <c r="D596" s="5" t="s">
        <v>832</v>
      </c>
      <c r="E596" s="13">
        <v>0</v>
      </c>
      <c r="F596" s="13">
        <v>0</v>
      </c>
      <c r="G596" s="13">
        <v>1</v>
      </c>
      <c r="H596" s="13">
        <v>0</v>
      </c>
      <c r="I596" s="13">
        <v>0</v>
      </c>
      <c r="J596" s="13">
        <v>0</v>
      </c>
      <c r="K596" s="13">
        <f t="shared" si="27"/>
        <v>0</v>
      </c>
      <c r="L596" s="13">
        <v>0</v>
      </c>
      <c r="M596" s="13">
        <f t="shared" si="28"/>
        <v>0</v>
      </c>
      <c r="N596" s="13">
        <v>0</v>
      </c>
      <c r="O596" s="13">
        <f t="shared" si="29"/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V596" s="13">
        <v>597</v>
      </c>
      <c r="W596" s="14">
        <v>0.35284890171939698</v>
      </c>
      <c r="X596" s="8"/>
    </row>
    <row r="597" spans="1:24" x14ac:dyDescent="0.25">
      <c r="A597" s="23" t="s">
        <v>1539</v>
      </c>
      <c r="B597" s="15" t="s">
        <v>918</v>
      </c>
      <c r="C597" s="15" t="s">
        <v>25</v>
      </c>
      <c r="D597" s="5" t="s">
        <v>832</v>
      </c>
      <c r="E597" s="16">
        <v>0</v>
      </c>
      <c r="F597" s="16">
        <v>0</v>
      </c>
      <c r="G597" s="16">
        <v>0</v>
      </c>
      <c r="H597" s="16">
        <v>1</v>
      </c>
      <c r="I597" s="16">
        <v>0</v>
      </c>
      <c r="J597" s="16">
        <v>0</v>
      </c>
      <c r="K597" s="16">
        <f t="shared" si="27"/>
        <v>0</v>
      </c>
      <c r="L597" s="16">
        <v>0</v>
      </c>
      <c r="M597" s="16">
        <f t="shared" si="28"/>
        <v>0</v>
      </c>
      <c r="N597" s="16">
        <v>0</v>
      </c>
      <c r="O597" s="16">
        <f t="shared" si="29"/>
        <v>0</v>
      </c>
      <c r="P597" s="16">
        <v>0</v>
      </c>
      <c r="Q597" s="16">
        <v>0</v>
      </c>
      <c r="R597" s="16">
        <v>0</v>
      </c>
      <c r="S597" s="16">
        <v>0</v>
      </c>
      <c r="T597" s="16">
        <v>0</v>
      </c>
      <c r="V597" s="16">
        <v>598</v>
      </c>
      <c r="W597" s="17">
        <v>0.35284890171939698</v>
      </c>
      <c r="X597" s="8"/>
    </row>
    <row r="598" spans="1:24" x14ac:dyDescent="0.25">
      <c r="A598" s="23" t="s">
        <v>1540</v>
      </c>
      <c r="B598" s="18" t="s">
        <v>919</v>
      </c>
      <c r="C598" s="18" t="s">
        <v>7</v>
      </c>
      <c r="D598" s="5" t="s">
        <v>832</v>
      </c>
      <c r="E598" s="19">
        <v>0</v>
      </c>
      <c r="F598" s="19">
        <v>0</v>
      </c>
      <c r="G598" s="19">
        <v>0</v>
      </c>
      <c r="H598" s="19">
        <v>0</v>
      </c>
      <c r="I598" s="19">
        <v>1</v>
      </c>
      <c r="J598" s="19">
        <v>1</v>
      </c>
      <c r="K598" s="19">
        <f t="shared" si="27"/>
        <v>0</v>
      </c>
      <c r="L598" s="19">
        <v>0</v>
      </c>
      <c r="M598" s="19">
        <f t="shared" si="28"/>
        <v>1</v>
      </c>
      <c r="N598" s="19">
        <v>0</v>
      </c>
      <c r="O598" s="19">
        <f t="shared" si="29"/>
        <v>1</v>
      </c>
      <c r="P598" s="19">
        <v>0</v>
      </c>
      <c r="Q598" s="19">
        <v>0</v>
      </c>
      <c r="R598" s="19">
        <v>0</v>
      </c>
      <c r="S598" s="19">
        <v>1</v>
      </c>
      <c r="T598" s="19">
        <v>1</v>
      </c>
      <c r="U598" s="5" t="s">
        <v>920</v>
      </c>
      <c r="V598" s="19">
        <v>599</v>
      </c>
      <c r="W598" s="20">
        <v>0.35284890171939698</v>
      </c>
      <c r="X598" s="8"/>
    </row>
    <row r="599" spans="1:24" x14ac:dyDescent="0.25">
      <c r="A599" s="23" t="s">
        <v>1541</v>
      </c>
      <c r="B599" s="12" t="s">
        <v>921</v>
      </c>
      <c r="C599" s="12" t="s">
        <v>5</v>
      </c>
      <c r="D599" s="5" t="s">
        <v>832</v>
      </c>
      <c r="E599" s="13">
        <v>0</v>
      </c>
      <c r="F599" s="13">
        <v>0</v>
      </c>
      <c r="G599" s="13">
        <v>1</v>
      </c>
      <c r="H599" s="13">
        <v>0</v>
      </c>
      <c r="I599" s="13">
        <v>0</v>
      </c>
      <c r="J599" s="13">
        <v>0</v>
      </c>
      <c r="K599" s="13">
        <f t="shared" si="27"/>
        <v>0</v>
      </c>
      <c r="L599" s="13">
        <v>0</v>
      </c>
      <c r="M599" s="13">
        <f t="shared" si="28"/>
        <v>0</v>
      </c>
      <c r="N599" s="13">
        <v>0</v>
      </c>
      <c r="O599" s="13">
        <f t="shared" si="29"/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V599" s="13">
        <v>600</v>
      </c>
      <c r="W599" s="14">
        <v>0.56943623992638104</v>
      </c>
      <c r="X599" s="8"/>
    </row>
    <row r="600" spans="1:24" x14ac:dyDescent="0.25">
      <c r="A600" s="23" t="s">
        <v>1542</v>
      </c>
      <c r="B600" s="15" t="s">
        <v>921</v>
      </c>
      <c r="C600" s="15" t="s">
        <v>25</v>
      </c>
      <c r="D600" s="5" t="s">
        <v>832</v>
      </c>
      <c r="E600" s="16">
        <v>0</v>
      </c>
      <c r="F600" s="16">
        <v>0</v>
      </c>
      <c r="G600" s="16">
        <v>0</v>
      </c>
      <c r="H600" s="16">
        <v>1</v>
      </c>
      <c r="I600" s="16">
        <v>0</v>
      </c>
      <c r="J600" s="16">
        <v>0</v>
      </c>
      <c r="K600" s="16">
        <f t="shared" si="27"/>
        <v>0</v>
      </c>
      <c r="L600" s="16">
        <v>0</v>
      </c>
      <c r="M600" s="16">
        <f t="shared" si="28"/>
        <v>0</v>
      </c>
      <c r="N600" s="16">
        <v>0</v>
      </c>
      <c r="O600" s="16">
        <f t="shared" si="29"/>
        <v>0</v>
      </c>
      <c r="P600" s="16">
        <v>0</v>
      </c>
      <c r="Q600" s="16">
        <v>0</v>
      </c>
      <c r="R600" s="16">
        <v>0</v>
      </c>
      <c r="S600" s="16">
        <v>0</v>
      </c>
      <c r="T600" s="16">
        <v>0</v>
      </c>
      <c r="V600" s="16">
        <v>601</v>
      </c>
      <c r="W600" s="17">
        <v>0.56943623992638104</v>
      </c>
      <c r="X600" s="8"/>
    </row>
    <row r="601" spans="1:24" x14ac:dyDescent="0.25">
      <c r="A601" s="23" t="s">
        <v>1543</v>
      </c>
      <c r="B601" s="18" t="s">
        <v>922</v>
      </c>
      <c r="C601" s="18" t="s">
        <v>7</v>
      </c>
      <c r="D601" s="5" t="s">
        <v>832</v>
      </c>
      <c r="E601" s="19">
        <v>0</v>
      </c>
      <c r="F601" s="19">
        <v>0</v>
      </c>
      <c r="G601" s="19">
        <v>0</v>
      </c>
      <c r="H601" s="19">
        <v>0</v>
      </c>
      <c r="I601" s="19">
        <v>1</v>
      </c>
      <c r="J601" s="19">
        <v>1</v>
      </c>
      <c r="K601" s="19">
        <f t="shared" si="27"/>
        <v>0</v>
      </c>
      <c r="L601" s="19">
        <v>0</v>
      </c>
      <c r="M601" s="19">
        <f t="shared" si="28"/>
        <v>1</v>
      </c>
      <c r="N601" s="19">
        <v>0</v>
      </c>
      <c r="O601" s="19">
        <f t="shared" si="29"/>
        <v>1</v>
      </c>
      <c r="P601" s="19">
        <v>0</v>
      </c>
      <c r="Q601" s="19">
        <v>0</v>
      </c>
      <c r="R601" s="19">
        <v>0</v>
      </c>
      <c r="S601" s="19">
        <v>1</v>
      </c>
      <c r="T601" s="19">
        <v>0</v>
      </c>
      <c r="U601" t="s">
        <v>923</v>
      </c>
      <c r="V601" s="19">
        <v>602</v>
      </c>
      <c r="W601" s="20">
        <v>0.56943623992638104</v>
      </c>
      <c r="X601" s="8"/>
    </row>
    <row r="602" spans="1:24" x14ac:dyDescent="0.25">
      <c r="A602" s="23" t="s">
        <v>1544</v>
      </c>
      <c r="B602" s="12" t="s">
        <v>924</v>
      </c>
      <c r="C602" s="12" t="s">
        <v>5</v>
      </c>
      <c r="D602" s="5" t="s">
        <v>832</v>
      </c>
      <c r="E602" s="13">
        <v>0</v>
      </c>
      <c r="F602" s="13">
        <v>0</v>
      </c>
      <c r="G602" s="13">
        <v>1</v>
      </c>
      <c r="H602" s="13">
        <v>0</v>
      </c>
      <c r="I602" s="13">
        <v>0</v>
      </c>
      <c r="J602" s="13">
        <v>0</v>
      </c>
      <c r="K602" s="13">
        <f t="shared" si="27"/>
        <v>0</v>
      </c>
      <c r="L602" s="13">
        <v>0</v>
      </c>
      <c r="M602" s="13">
        <f t="shared" si="28"/>
        <v>0</v>
      </c>
      <c r="N602" s="13">
        <v>0</v>
      </c>
      <c r="O602" s="13">
        <f t="shared" si="29"/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V602" s="13">
        <v>603</v>
      </c>
      <c r="W602" s="14">
        <v>5.2543521791559397E-2</v>
      </c>
      <c r="X602" s="8"/>
    </row>
    <row r="603" spans="1:24" x14ac:dyDescent="0.25">
      <c r="A603" s="23" t="s">
        <v>1545</v>
      </c>
      <c r="B603" s="15" t="s">
        <v>925</v>
      </c>
      <c r="C603" s="15" t="s">
        <v>25</v>
      </c>
      <c r="D603" s="5" t="s">
        <v>832</v>
      </c>
      <c r="E603" s="16">
        <v>0</v>
      </c>
      <c r="F603" s="16">
        <v>0</v>
      </c>
      <c r="G603" s="16">
        <v>0</v>
      </c>
      <c r="H603" s="16">
        <v>1</v>
      </c>
      <c r="I603" s="16">
        <v>0</v>
      </c>
      <c r="J603" s="16">
        <v>0</v>
      </c>
      <c r="K603" s="16">
        <f t="shared" si="27"/>
        <v>0</v>
      </c>
      <c r="L603" s="16">
        <v>0</v>
      </c>
      <c r="M603" s="16">
        <f t="shared" si="28"/>
        <v>0</v>
      </c>
      <c r="N603" s="16">
        <v>0</v>
      </c>
      <c r="O603" s="16">
        <f t="shared" si="29"/>
        <v>0</v>
      </c>
      <c r="P603" s="16">
        <v>0</v>
      </c>
      <c r="Q603" s="16">
        <v>0</v>
      </c>
      <c r="R603" s="16">
        <v>0</v>
      </c>
      <c r="S603" s="16">
        <v>0</v>
      </c>
      <c r="T603" s="16">
        <v>0</v>
      </c>
      <c r="V603" s="16">
        <v>604</v>
      </c>
      <c r="W603" s="17">
        <v>5.2543521791559397E-2</v>
      </c>
      <c r="X603" s="8"/>
    </row>
    <row r="604" spans="1:24" x14ac:dyDescent="0.25">
      <c r="A604" s="23" t="s">
        <v>1546</v>
      </c>
      <c r="B604" s="18" t="s">
        <v>926</v>
      </c>
      <c r="C604" s="18" t="s">
        <v>7</v>
      </c>
      <c r="D604" s="5" t="s">
        <v>832</v>
      </c>
      <c r="E604" s="19">
        <v>0</v>
      </c>
      <c r="F604" s="19">
        <v>0</v>
      </c>
      <c r="G604" s="19">
        <v>0</v>
      </c>
      <c r="H604" s="19">
        <v>0</v>
      </c>
      <c r="I604" s="19">
        <v>1</v>
      </c>
      <c r="J604" s="19">
        <v>1</v>
      </c>
      <c r="K604" s="19">
        <f t="shared" si="27"/>
        <v>0</v>
      </c>
      <c r="L604" s="19">
        <v>0</v>
      </c>
      <c r="M604" s="19">
        <f t="shared" si="28"/>
        <v>1</v>
      </c>
      <c r="N604" s="19">
        <v>0</v>
      </c>
      <c r="O604" s="19">
        <f t="shared" si="29"/>
        <v>1</v>
      </c>
      <c r="P604" s="19">
        <v>0</v>
      </c>
      <c r="Q604" s="19">
        <v>0</v>
      </c>
      <c r="R604" s="19">
        <v>0</v>
      </c>
      <c r="S604" s="19">
        <v>1</v>
      </c>
      <c r="T604" s="19">
        <v>1</v>
      </c>
      <c r="U604" t="s">
        <v>927</v>
      </c>
      <c r="V604" s="19">
        <v>605</v>
      </c>
      <c r="W604" s="20">
        <v>5.2543521791559397E-2</v>
      </c>
      <c r="X604" s="8"/>
    </row>
    <row r="605" spans="1:24" x14ac:dyDescent="0.25">
      <c r="A605" s="23" t="s">
        <v>1547</v>
      </c>
      <c r="B605" s="9" t="s">
        <v>928</v>
      </c>
      <c r="C605" s="9" t="s">
        <v>4</v>
      </c>
      <c r="D605" s="5" t="s">
        <v>832</v>
      </c>
      <c r="E605" s="10">
        <v>0</v>
      </c>
      <c r="F605" s="10">
        <v>1</v>
      </c>
      <c r="G605" s="10">
        <v>0</v>
      </c>
      <c r="H605" s="10">
        <v>0</v>
      </c>
      <c r="I605" s="10">
        <v>0</v>
      </c>
      <c r="J605" s="10">
        <v>0</v>
      </c>
      <c r="K605" s="10">
        <f t="shared" si="27"/>
        <v>0</v>
      </c>
      <c r="L605" s="10">
        <v>0</v>
      </c>
      <c r="M605" s="10">
        <f t="shared" si="28"/>
        <v>0</v>
      </c>
      <c r="N605" s="10">
        <v>0</v>
      </c>
      <c r="O605" s="10">
        <f t="shared" si="29"/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V605" s="10">
        <v>606</v>
      </c>
      <c r="W605" s="11">
        <v>0.37593274238284957</v>
      </c>
      <c r="X605" s="8"/>
    </row>
    <row r="606" spans="1:24" x14ac:dyDescent="0.25">
      <c r="A606" s="23" t="s">
        <v>1548</v>
      </c>
      <c r="B606" s="12" t="s">
        <v>929</v>
      </c>
      <c r="C606" s="12" t="s">
        <v>5</v>
      </c>
      <c r="D606" s="5" t="s">
        <v>832</v>
      </c>
      <c r="E606" s="13">
        <v>0</v>
      </c>
      <c r="F606" s="13">
        <v>0</v>
      </c>
      <c r="G606" s="13">
        <v>1</v>
      </c>
      <c r="H606" s="13">
        <v>0</v>
      </c>
      <c r="I606" s="13">
        <v>0</v>
      </c>
      <c r="J606" s="13">
        <v>0</v>
      </c>
      <c r="K606" s="13">
        <f t="shared" si="27"/>
        <v>0</v>
      </c>
      <c r="L606" s="13">
        <v>0</v>
      </c>
      <c r="M606" s="13">
        <f t="shared" si="28"/>
        <v>0</v>
      </c>
      <c r="N606" s="13">
        <v>0</v>
      </c>
      <c r="O606" s="13">
        <f t="shared" si="29"/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V606" s="13">
        <v>607</v>
      </c>
      <c r="W606" s="14">
        <v>0.37593274238284957</v>
      </c>
      <c r="X606" s="8"/>
    </row>
    <row r="607" spans="1:24" x14ac:dyDescent="0.25">
      <c r="A607" s="23" t="s">
        <v>1549</v>
      </c>
      <c r="B607" s="15" t="s">
        <v>929</v>
      </c>
      <c r="C607" s="15" t="s">
        <v>25</v>
      </c>
      <c r="D607" s="5" t="s">
        <v>832</v>
      </c>
      <c r="E607" s="16">
        <v>0</v>
      </c>
      <c r="F607" s="16">
        <v>0</v>
      </c>
      <c r="G607" s="16">
        <v>0</v>
      </c>
      <c r="H607" s="16">
        <v>1</v>
      </c>
      <c r="I607" s="16">
        <v>0</v>
      </c>
      <c r="J607" s="16">
        <v>0</v>
      </c>
      <c r="K607" s="16">
        <f t="shared" si="27"/>
        <v>0</v>
      </c>
      <c r="L607" s="16">
        <v>0</v>
      </c>
      <c r="M607" s="16">
        <f t="shared" si="28"/>
        <v>0</v>
      </c>
      <c r="N607" s="16">
        <v>0</v>
      </c>
      <c r="O607" s="16">
        <f t="shared" si="29"/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/>
      <c r="V607" s="16">
        <v>608</v>
      </c>
      <c r="W607" s="17">
        <v>0.37593274238284957</v>
      </c>
      <c r="X607" s="8"/>
    </row>
    <row r="608" spans="1:24" x14ac:dyDescent="0.25">
      <c r="A608" s="23" t="s">
        <v>1550</v>
      </c>
      <c r="B608" s="18" t="s">
        <v>930</v>
      </c>
      <c r="C608" s="18" t="s">
        <v>7</v>
      </c>
      <c r="D608" s="5" t="s">
        <v>832</v>
      </c>
      <c r="E608" s="19">
        <v>0</v>
      </c>
      <c r="F608" s="19">
        <v>0</v>
      </c>
      <c r="G608" s="19">
        <v>0</v>
      </c>
      <c r="H608" s="19">
        <v>0</v>
      </c>
      <c r="I608" s="19">
        <v>1</v>
      </c>
      <c r="J608" s="19">
        <v>1</v>
      </c>
      <c r="K608" s="19">
        <f t="shared" si="27"/>
        <v>0</v>
      </c>
      <c r="L608" s="19">
        <v>0</v>
      </c>
      <c r="M608" s="19">
        <f t="shared" si="28"/>
        <v>1</v>
      </c>
      <c r="N608" s="19">
        <v>0</v>
      </c>
      <c r="O608" s="19">
        <f t="shared" si="29"/>
        <v>1</v>
      </c>
      <c r="P608" s="19">
        <v>0</v>
      </c>
      <c r="Q608" s="19">
        <v>0</v>
      </c>
      <c r="R608" s="19">
        <v>0</v>
      </c>
      <c r="S608" s="19">
        <v>1</v>
      </c>
      <c r="T608" s="19">
        <v>0</v>
      </c>
      <c r="U608" t="s">
        <v>931</v>
      </c>
      <c r="V608" s="19">
        <v>609</v>
      </c>
      <c r="W608" s="20">
        <v>0.121738562864874</v>
      </c>
      <c r="X608" s="8"/>
    </row>
    <row r="609" spans="1:24" x14ac:dyDescent="0.25">
      <c r="A609" s="23" t="s">
        <v>1551</v>
      </c>
      <c r="B609" s="18" t="s">
        <v>932</v>
      </c>
      <c r="C609" s="18" t="s">
        <v>7</v>
      </c>
      <c r="D609" s="5" t="s">
        <v>832</v>
      </c>
      <c r="E609" s="19">
        <v>0</v>
      </c>
      <c r="F609" s="19">
        <v>0</v>
      </c>
      <c r="G609" s="19">
        <v>0</v>
      </c>
      <c r="H609" s="19">
        <v>0</v>
      </c>
      <c r="I609" s="19">
        <v>1</v>
      </c>
      <c r="J609" s="19">
        <v>1</v>
      </c>
      <c r="K609" s="19">
        <f t="shared" si="27"/>
        <v>0</v>
      </c>
      <c r="L609" s="19">
        <v>0</v>
      </c>
      <c r="M609" s="19">
        <f t="shared" si="28"/>
        <v>1</v>
      </c>
      <c r="N609" s="19">
        <v>0</v>
      </c>
      <c r="O609" s="19">
        <f t="shared" si="29"/>
        <v>1</v>
      </c>
      <c r="P609" s="19">
        <v>0</v>
      </c>
      <c r="Q609" s="19">
        <v>0</v>
      </c>
      <c r="R609" s="19">
        <v>0</v>
      </c>
      <c r="S609" s="19">
        <v>1</v>
      </c>
      <c r="T609" s="19">
        <v>0</v>
      </c>
      <c r="U609" t="s">
        <v>933</v>
      </c>
      <c r="V609" s="19">
        <v>610</v>
      </c>
      <c r="W609" s="20">
        <v>0.119108694117772</v>
      </c>
      <c r="X609" s="8"/>
    </row>
    <row r="610" spans="1:24" x14ac:dyDescent="0.25">
      <c r="A610" s="23" t="s">
        <v>1552</v>
      </c>
      <c r="B610" s="18" t="s">
        <v>934</v>
      </c>
      <c r="C610" s="18" t="s">
        <v>7</v>
      </c>
      <c r="D610" s="5" t="s">
        <v>832</v>
      </c>
      <c r="E610" s="19">
        <v>0</v>
      </c>
      <c r="F610" s="19">
        <v>0</v>
      </c>
      <c r="G610" s="19">
        <v>0</v>
      </c>
      <c r="H610" s="19">
        <v>0</v>
      </c>
      <c r="I610" s="19">
        <v>1</v>
      </c>
      <c r="J610" s="19">
        <v>1</v>
      </c>
      <c r="K610" s="19">
        <f t="shared" si="27"/>
        <v>0</v>
      </c>
      <c r="L610" s="19">
        <v>0</v>
      </c>
      <c r="M610" s="19">
        <f t="shared" si="28"/>
        <v>1</v>
      </c>
      <c r="N610" s="19">
        <v>0</v>
      </c>
      <c r="O610" s="19">
        <f t="shared" si="29"/>
        <v>1</v>
      </c>
      <c r="P610" s="19">
        <v>0</v>
      </c>
      <c r="Q610" s="19">
        <v>0</v>
      </c>
      <c r="R610" s="19">
        <v>0</v>
      </c>
      <c r="S610" s="19">
        <v>1</v>
      </c>
      <c r="T610" s="19">
        <v>0</v>
      </c>
      <c r="U610" t="s">
        <v>935</v>
      </c>
      <c r="V610" s="19">
        <v>611</v>
      </c>
      <c r="W610" s="20">
        <v>6.2752802624097298E-2</v>
      </c>
      <c r="X610" s="8"/>
    </row>
    <row r="611" spans="1:24" x14ac:dyDescent="0.25">
      <c r="A611" s="23" t="s">
        <v>1553</v>
      </c>
      <c r="B611" s="18" t="s">
        <v>936</v>
      </c>
      <c r="C611" s="18" t="s">
        <v>7</v>
      </c>
      <c r="D611" s="5" t="s">
        <v>832</v>
      </c>
      <c r="E611" s="19">
        <v>0</v>
      </c>
      <c r="F611" s="19">
        <v>0</v>
      </c>
      <c r="G611" s="19">
        <v>0</v>
      </c>
      <c r="H611" s="19">
        <v>0</v>
      </c>
      <c r="I611" s="19">
        <v>1</v>
      </c>
      <c r="J611" s="19">
        <v>1</v>
      </c>
      <c r="K611" s="19">
        <f t="shared" si="27"/>
        <v>0</v>
      </c>
      <c r="L611" s="19">
        <v>0</v>
      </c>
      <c r="M611" s="19">
        <f t="shared" si="28"/>
        <v>1</v>
      </c>
      <c r="N611" s="19">
        <v>0</v>
      </c>
      <c r="O611" s="19">
        <f t="shared" si="29"/>
        <v>1</v>
      </c>
      <c r="P611" s="19">
        <v>0</v>
      </c>
      <c r="Q611" s="19">
        <v>0</v>
      </c>
      <c r="R611" s="19">
        <v>0</v>
      </c>
      <c r="S611" s="19">
        <v>1</v>
      </c>
      <c r="T611" s="19">
        <v>1</v>
      </c>
      <c r="U611" t="s">
        <v>937</v>
      </c>
      <c r="V611" s="19">
        <v>612</v>
      </c>
      <c r="W611" s="20">
        <v>4.5071274904750998E-2</v>
      </c>
      <c r="X611" s="8"/>
    </row>
    <row r="612" spans="1:24" ht="15.75" thickBot="1" x14ac:dyDescent="0.3">
      <c r="A612" s="23" t="s">
        <v>1554</v>
      </c>
      <c r="B612" s="18" t="s">
        <v>938</v>
      </c>
      <c r="C612" s="18" t="s">
        <v>7</v>
      </c>
      <c r="D612" s="5" t="s">
        <v>832</v>
      </c>
      <c r="E612" s="19">
        <v>0</v>
      </c>
      <c r="F612" s="19">
        <v>0</v>
      </c>
      <c r="G612" s="19">
        <v>0</v>
      </c>
      <c r="H612" s="19">
        <v>0</v>
      </c>
      <c r="I612" s="19">
        <v>1</v>
      </c>
      <c r="J612" s="19">
        <v>1</v>
      </c>
      <c r="K612" s="19">
        <f t="shared" si="27"/>
        <v>0</v>
      </c>
      <c r="L612" s="19">
        <v>0</v>
      </c>
      <c r="M612" s="19">
        <f t="shared" si="28"/>
        <v>1</v>
      </c>
      <c r="N612" s="19">
        <v>0</v>
      </c>
      <c r="O612" s="19">
        <f t="shared" si="29"/>
        <v>1</v>
      </c>
      <c r="P612" s="19">
        <v>0</v>
      </c>
      <c r="Q612" s="19">
        <v>0</v>
      </c>
      <c r="R612" s="19">
        <v>0</v>
      </c>
      <c r="S612" s="19">
        <v>1</v>
      </c>
      <c r="T612" s="19">
        <v>1</v>
      </c>
      <c r="U612" t="s">
        <v>939</v>
      </c>
      <c r="V612" s="19">
        <v>613</v>
      </c>
      <c r="W612" s="22">
        <v>2.7261407871355298E-2</v>
      </c>
      <c r="X612" s="8"/>
    </row>
    <row r="613" spans="1:24" x14ac:dyDescent="0.25">
      <c r="A613" s="23" t="s">
        <v>943</v>
      </c>
      <c r="B613" t="s">
        <v>20</v>
      </c>
      <c r="C613" t="s">
        <v>21</v>
      </c>
      <c r="D613" t="s">
        <v>20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f>IF(I613=1,IF(J613=1,0,1),0)</f>
        <v>0</v>
      </c>
      <c r="L613" s="2">
        <f>IF(H613=1,IF(O613=1,0,1),0)</f>
        <v>0</v>
      </c>
      <c r="M613" s="2">
        <f>IF(I613=1,IF(L613=1,0,1),0)</f>
        <v>0</v>
      </c>
      <c r="N613" s="2">
        <v>0</v>
      </c>
      <c r="O613" s="2">
        <f>IF(I613=1,IF(N613=1,0,1),0)</f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3"/>
      <c r="V613" s="2">
        <v>2</v>
      </c>
      <c r="W613" s="4">
        <v>100.00000138049801</v>
      </c>
    </row>
    <row r="614" spans="1:24" x14ac:dyDescent="0.25">
      <c r="U614" s="3"/>
    </row>
    <row r="615" spans="1:24" x14ac:dyDescent="0.25">
      <c r="U615"/>
    </row>
    <row r="616" spans="1:24" x14ac:dyDescent="0.25">
      <c r="U616"/>
    </row>
    <row r="617" spans="1:24" x14ac:dyDescent="0.25">
      <c r="U617" s="3"/>
    </row>
    <row r="618" spans="1:24" x14ac:dyDescent="0.25">
      <c r="U618" s="3"/>
    </row>
    <row r="619" spans="1:24" x14ac:dyDescent="0.25">
      <c r="U619" s="3"/>
    </row>
    <row r="620" spans="1:24" x14ac:dyDescent="0.25">
      <c r="U620"/>
    </row>
    <row r="621" spans="1:24" x14ac:dyDescent="0.25">
      <c r="U621"/>
    </row>
    <row r="622" spans="1:24" x14ac:dyDescent="0.25">
      <c r="U622" s="3"/>
    </row>
    <row r="623" spans="1:24" x14ac:dyDescent="0.25">
      <c r="U623" s="3"/>
    </row>
    <row r="624" spans="1:24" x14ac:dyDescent="0.25">
      <c r="U624" s="3"/>
    </row>
    <row r="625" spans="21:21" x14ac:dyDescent="0.25">
      <c r="U625" s="3"/>
    </row>
    <row r="626" spans="21:21" x14ac:dyDescent="0.25">
      <c r="U626"/>
    </row>
    <row r="627" spans="21:21" x14ac:dyDescent="0.25">
      <c r="U627" s="3"/>
    </row>
    <row r="628" spans="21:21" x14ac:dyDescent="0.25">
      <c r="U628" s="3"/>
    </row>
    <row r="629" spans="21:21" x14ac:dyDescent="0.25">
      <c r="U629"/>
    </row>
    <row r="630" spans="21:21" x14ac:dyDescent="0.25">
      <c r="U630" s="3"/>
    </row>
    <row r="631" spans="21:21" x14ac:dyDescent="0.25">
      <c r="U631" s="3"/>
    </row>
    <row r="632" spans="21:21" x14ac:dyDescent="0.25">
      <c r="U632" s="3"/>
    </row>
    <row r="633" spans="21:21" x14ac:dyDescent="0.25">
      <c r="U633"/>
    </row>
    <row r="634" spans="21:21" x14ac:dyDescent="0.25">
      <c r="U634"/>
    </row>
    <row r="635" spans="21:21" x14ac:dyDescent="0.25">
      <c r="U635"/>
    </row>
    <row r="636" spans="21:21" x14ac:dyDescent="0.25">
      <c r="U636"/>
    </row>
    <row r="637" spans="21:21" x14ac:dyDescent="0.25">
      <c r="U637"/>
    </row>
    <row r="638" spans="21:21" x14ac:dyDescent="0.25">
      <c r="U638" s="3"/>
    </row>
    <row r="639" spans="21:21" x14ac:dyDescent="0.25">
      <c r="U639" s="3"/>
    </row>
    <row r="640" spans="21:21" x14ac:dyDescent="0.25">
      <c r="U640"/>
    </row>
    <row r="641" spans="21:21" x14ac:dyDescent="0.25">
      <c r="U641"/>
    </row>
    <row r="642" spans="21:21" x14ac:dyDescent="0.25">
      <c r="U642"/>
    </row>
    <row r="643" spans="21:21" x14ac:dyDescent="0.25">
      <c r="U643"/>
    </row>
    <row r="644" spans="21:21" x14ac:dyDescent="0.25">
      <c r="U644"/>
    </row>
    <row r="645" spans="21:21" x14ac:dyDescent="0.25">
      <c r="U645" s="3"/>
    </row>
    <row r="646" spans="21:21" x14ac:dyDescent="0.25">
      <c r="U646" s="3"/>
    </row>
    <row r="647" spans="21:21" x14ac:dyDescent="0.25">
      <c r="U647"/>
    </row>
    <row r="648" spans="21:21" x14ac:dyDescent="0.25">
      <c r="U648"/>
    </row>
    <row r="649" spans="21:21" x14ac:dyDescent="0.25">
      <c r="U649" s="3"/>
    </row>
    <row r="650" spans="21:21" x14ac:dyDescent="0.25">
      <c r="U650" s="3"/>
    </row>
    <row r="651" spans="21:21" x14ac:dyDescent="0.25">
      <c r="U651"/>
    </row>
    <row r="652" spans="21:21" x14ac:dyDescent="0.25">
      <c r="U652"/>
    </row>
    <row r="653" spans="21:21" x14ac:dyDescent="0.25">
      <c r="U653" s="3"/>
    </row>
    <row r="654" spans="21:21" x14ac:dyDescent="0.25">
      <c r="U654" s="3"/>
    </row>
    <row r="655" spans="21:21" x14ac:dyDescent="0.25">
      <c r="U655" s="3"/>
    </row>
    <row r="656" spans="21:21" x14ac:dyDescent="0.25">
      <c r="U656"/>
    </row>
    <row r="657" spans="21:21" x14ac:dyDescent="0.25">
      <c r="U657"/>
    </row>
    <row r="658" spans="21:21" x14ac:dyDescent="0.25">
      <c r="U658"/>
    </row>
    <row r="659" spans="21:21" x14ac:dyDescent="0.25">
      <c r="U659"/>
    </row>
    <row r="660" spans="21:21" x14ac:dyDescent="0.25">
      <c r="U660"/>
    </row>
    <row r="661" spans="21:21" x14ac:dyDescent="0.25">
      <c r="U661"/>
    </row>
    <row r="662" spans="21:21" x14ac:dyDescent="0.25">
      <c r="U662" s="3"/>
    </row>
    <row r="663" spans="21:21" x14ac:dyDescent="0.25">
      <c r="U663"/>
    </row>
    <row r="664" spans="21:21" x14ac:dyDescent="0.25">
      <c r="U664"/>
    </row>
    <row r="665" spans="21:21" x14ac:dyDescent="0.25">
      <c r="U665"/>
    </row>
    <row r="666" spans="21:21" x14ac:dyDescent="0.25">
      <c r="U666" s="3"/>
    </row>
    <row r="667" spans="21:21" x14ac:dyDescent="0.25">
      <c r="U667" s="3"/>
    </row>
    <row r="668" spans="21:21" x14ac:dyDescent="0.25">
      <c r="U668"/>
    </row>
    <row r="669" spans="21:21" x14ac:dyDescent="0.25">
      <c r="U669" s="3"/>
    </row>
    <row r="670" spans="21:21" x14ac:dyDescent="0.25">
      <c r="U670" s="3"/>
    </row>
    <row r="671" spans="21:21" x14ac:dyDescent="0.25">
      <c r="U671" s="3"/>
    </row>
    <row r="672" spans="21:21" x14ac:dyDescent="0.25">
      <c r="U672" s="3"/>
    </row>
    <row r="673" spans="21:21" x14ac:dyDescent="0.25">
      <c r="U673"/>
    </row>
    <row r="674" spans="21:21" x14ac:dyDescent="0.25">
      <c r="U674" s="3"/>
    </row>
    <row r="675" spans="21:21" x14ac:dyDescent="0.25">
      <c r="U675" s="3"/>
    </row>
    <row r="676" spans="21:21" x14ac:dyDescent="0.25">
      <c r="U676" s="3"/>
    </row>
    <row r="677" spans="21:21" x14ac:dyDescent="0.25">
      <c r="U677"/>
    </row>
    <row r="678" spans="21:21" x14ac:dyDescent="0.25">
      <c r="U678"/>
    </row>
    <row r="679" spans="21:21" x14ac:dyDescent="0.25">
      <c r="U679"/>
    </row>
    <row r="680" spans="21:21" x14ac:dyDescent="0.25">
      <c r="U680" s="3"/>
    </row>
    <row r="681" spans="21:21" x14ac:dyDescent="0.25">
      <c r="U681"/>
    </row>
    <row r="682" spans="21:21" x14ac:dyDescent="0.25">
      <c r="U682" s="3"/>
    </row>
    <row r="683" spans="21:21" x14ac:dyDescent="0.25">
      <c r="U683" s="3"/>
    </row>
    <row r="684" spans="21:21" x14ac:dyDescent="0.25">
      <c r="U684" s="3"/>
    </row>
    <row r="685" spans="21:21" x14ac:dyDescent="0.25">
      <c r="U685" s="3"/>
    </row>
    <row r="686" spans="21:21" x14ac:dyDescent="0.25">
      <c r="U686"/>
    </row>
    <row r="687" spans="21:21" x14ac:dyDescent="0.25">
      <c r="U687"/>
    </row>
    <row r="688" spans="21:21" x14ac:dyDescent="0.25">
      <c r="U688" s="3"/>
    </row>
    <row r="689" spans="21:21" x14ac:dyDescent="0.25">
      <c r="U689" s="3"/>
    </row>
    <row r="690" spans="21:21" x14ac:dyDescent="0.25">
      <c r="U690"/>
    </row>
    <row r="691" spans="21:21" x14ac:dyDescent="0.25">
      <c r="U691" s="3"/>
    </row>
    <row r="692" spans="21:21" x14ac:dyDescent="0.25">
      <c r="U692" s="3"/>
    </row>
    <row r="693" spans="21:21" x14ac:dyDescent="0.25">
      <c r="U693" s="3"/>
    </row>
    <row r="694" spans="21:21" x14ac:dyDescent="0.25">
      <c r="U694"/>
    </row>
    <row r="695" spans="21:21" x14ac:dyDescent="0.25">
      <c r="U695" s="3"/>
    </row>
    <row r="696" spans="21:21" x14ac:dyDescent="0.25">
      <c r="U696" s="3"/>
    </row>
    <row r="697" spans="21:21" x14ac:dyDescent="0.25">
      <c r="U697"/>
    </row>
    <row r="698" spans="21:21" x14ac:dyDescent="0.25">
      <c r="U698" s="3"/>
    </row>
    <row r="699" spans="21:21" x14ac:dyDescent="0.25">
      <c r="U699" s="3"/>
    </row>
    <row r="700" spans="21:21" x14ac:dyDescent="0.25">
      <c r="U700"/>
    </row>
    <row r="701" spans="21:21" x14ac:dyDescent="0.25">
      <c r="U701"/>
    </row>
    <row r="702" spans="21:21" x14ac:dyDescent="0.25">
      <c r="U702" s="3"/>
    </row>
    <row r="703" spans="21:21" x14ac:dyDescent="0.25">
      <c r="U703" s="3"/>
    </row>
    <row r="704" spans="21:21" x14ac:dyDescent="0.25">
      <c r="U704"/>
    </row>
    <row r="705" spans="21:21" x14ac:dyDescent="0.25">
      <c r="U705" s="3"/>
    </row>
    <row r="706" spans="21:21" x14ac:dyDescent="0.25">
      <c r="U706" s="3"/>
    </row>
    <row r="707" spans="21:21" x14ac:dyDescent="0.25">
      <c r="U707" s="3"/>
    </row>
    <row r="708" spans="21:21" x14ac:dyDescent="0.25">
      <c r="U708"/>
    </row>
    <row r="709" spans="21:21" x14ac:dyDescent="0.25">
      <c r="U709" s="3"/>
    </row>
    <row r="710" spans="21:21" x14ac:dyDescent="0.25">
      <c r="U710" s="3"/>
    </row>
    <row r="711" spans="21:21" x14ac:dyDescent="0.25">
      <c r="U711"/>
    </row>
    <row r="712" spans="21:21" x14ac:dyDescent="0.25">
      <c r="U712"/>
    </row>
    <row r="713" spans="21:21" x14ac:dyDescent="0.25">
      <c r="U713" s="3"/>
    </row>
    <row r="714" spans="21:21" x14ac:dyDescent="0.25">
      <c r="U714" s="3"/>
    </row>
    <row r="715" spans="21:21" x14ac:dyDescent="0.25">
      <c r="U715"/>
    </row>
    <row r="716" spans="21:21" x14ac:dyDescent="0.25">
      <c r="U716" s="3"/>
    </row>
    <row r="717" spans="21:21" x14ac:dyDescent="0.25">
      <c r="U717" s="3"/>
    </row>
    <row r="718" spans="21:21" x14ac:dyDescent="0.25">
      <c r="U718" s="3"/>
    </row>
    <row r="719" spans="21:21" x14ac:dyDescent="0.25">
      <c r="U719"/>
    </row>
    <row r="720" spans="21:21" x14ac:dyDescent="0.25">
      <c r="U720"/>
    </row>
    <row r="721" spans="21:21" x14ac:dyDescent="0.25">
      <c r="U721" s="3"/>
    </row>
    <row r="722" spans="21:21" x14ac:dyDescent="0.25">
      <c r="U722" s="3"/>
    </row>
    <row r="723" spans="21:21" x14ac:dyDescent="0.25">
      <c r="U723"/>
    </row>
    <row r="724" spans="21:21" x14ac:dyDescent="0.25">
      <c r="U724"/>
    </row>
    <row r="725" spans="21:21" x14ac:dyDescent="0.25">
      <c r="U725"/>
    </row>
    <row r="726" spans="21:21" x14ac:dyDescent="0.25">
      <c r="U726"/>
    </row>
    <row r="727" spans="21:21" x14ac:dyDescent="0.25">
      <c r="U727" s="3"/>
    </row>
    <row r="728" spans="21:21" x14ac:dyDescent="0.25">
      <c r="U728" s="3"/>
    </row>
    <row r="729" spans="21:21" x14ac:dyDescent="0.25">
      <c r="U729" s="3"/>
    </row>
    <row r="730" spans="21:21" x14ac:dyDescent="0.25">
      <c r="U730"/>
    </row>
    <row r="731" spans="21:21" x14ac:dyDescent="0.25">
      <c r="U731" s="3"/>
    </row>
    <row r="732" spans="21:21" x14ac:dyDescent="0.25">
      <c r="U732" s="3"/>
    </row>
    <row r="733" spans="21:21" x14ac:dyDescent="0.25">
      <c r="U733" s="3"/>
    </row>
    <row r="734" spans="21:21" x14ac:dyDescent="0.25">
      <c r="U734" s="3"/>
    </row>
    <row r="735" spans="21:21" x14ac:dyDescent="0.25">
      <c r="U735"/>
    </row>
    <row r="736" spans="21:21" x14ac:dyDescent="0.25">
      <c r="U736" s="3"/>
    </row>
    <row r="737" spans="21:21" x14ac:dyDescent="0.25">
      <c r="U737"/>
    </row>
    <row r="738" spans="21:21" x14ac:dyDescent="0.25">
      <c r="U738" s="3"/>
    </row>
    <row r="739" spans="21:21" x14ac:dyDescent="0.25">
      <c r="U739" s="3"/>
    </row>
    <row r="740" spans="21:21" x14ac:dyDescent="0.25">
      <c r="U740" s="3"/>
    </row>
    <row r="741" spans="21:21" x14ac:dyDescent="0.25">
      <c r="U741"/>
    </row>
    <row r="742" spans="21:21" x14ac:dyDescent="0.25">
      <c r="U742" s="3"/>
    </row>
    <row r="743" spans="21:21" x14ac:dyDescent="0.25">
      <c r="U743" s="3"/>
    </row>
    <row r="744" spans="21:21" x14ac:dyDescent="0.25">
      <c r="U744" s="3"/>
    </row>
    <row r="745" spans="21:21" x14ac:dyDescent="0.25">
      <c r="U745"/>
    </row>
    <row r="746" spans="21:21" x14ac:dyDescent="0.25">
      <c r="U746" s="3"/>
    </row>
    <row r="747" spans="21:21" x14ac:dyDescent="0.25">
      <c r="U747" s="3"/>
    </row>
    <row r="748" spans="21:21" x14ac:dyDescent="0.25">
      <c r="U748" s="3"/>
    </row>
    <row r="749" spans="21:21" x14ac:dyDescent="0.25">
      <c r="U749"/>
    </row>
    <row r="750" spans="21:21" x14ac:dyDescent="0.25">
      <c r="U750" s="3"/>
    </row>
    <row r="751" spans="21:21" x14ac:dyDescent="0.25">
      <c r="U751" s="3"/>
    </row>
    <row r="752" spans="21:21" x14ac:dyDescent="0.25">
      <c r="U752" s="3"/>
    </row>
    <row r="753" spans="21:21" x14ac:dyDescent="0.25">
      <c r="U753" s="3"/>
    </row>
    <row r="754" spans="21:21" x14ac:dyDescent="0.25">
      <c r="U754"/>
    </row>
    <row r="755" spans="21:21" x14ac:dyDescent="0.25">
      <c r="U755"/>
    </row>
    <row r="756" spans="21:21" x14ac:dyDescent="0.25">
      <c r="U756"/>
    </row>
    <row r="757" spans="21:21" x14ac:dyDescent="0.25">
      <c r="U757"/>
    </row>
    <row r="758" spans="21:21" x14ac:dyDescent="0.25">
      <c r="U758"/>
    </row>
    <row r="759" spans="21:21" x14ac:dyDescent="0.25">
      <c r="U759"/>
    </row>
    <row r="760" spans="21:21" x14ac:dyDescent="0.25">
      <c r="U760"/>
    </row>
    <row r="761" spans="21:21" x14ac:dyDescent="0.25">
      <c r="U761"/>
    </row>
    <row r="762" spans="21:21" x14ac:dyDescent="0.25">
      <c r="U762"/>
    </row>
    <row r="763" spans="21:21" x14ac:dyDescent="0.25">
      <c r="U763"/>
    </row>
    <row r="764" spans="21:21" x14ac:dyDescent="0.25">
      <c r="U764" s="3"/>
    </row>
    <row r="765" spans="21:21" x14ac:dyDescent="0.25">
      <c r="U765"/>
    </row>
    <row r="766" spans="21:21" x14ac:dyDescent="0.25">
      <c r="U766"/>
    </row>
    <row r="767" spans="21:21" x14ac:dyDescent="0.25">
      <c r="U767"/>
    </row>
    <row r="768" spans="21:21" x14ac:dyDescent="0.25">
      <c r="U768"/>
    </row>
    <row r="769" spans="21:21" x14ac:dyDescent="0.25">
      <c r="U769"/>
    </row>
    <row r="770" spans="21:21" x14ac:dyDescent="0.25">
      <c r="U770" s="3"/>
    </row>
    <row r="771" spans="21:21" x14ac:dyDescent="0.25">
      <c r="U771" s="3"/>
    </row>
    <row r="772" spans="21:21" x14ac:dyDescent="0.25">
      <c r="U772" s="3"/>
    </row>
    <row r="773" spans="21:21" x14ac:dyDescent="0.25">
      <c r="U773"/>
    </row>
    <row r="774" spans="21:21" x14ac:dyDescent="0.25">
      <c r="U774" s="3"/>
    </row>
    <row r="775" spans="21:21" x14ac:dyDescent="0.25">
      <c r="U775" s="3"/>
    </row>
    <row r="776" spans="21:21" x14ac:dyDescent="0.25">
      <c r="U776" s="3"/>
    </row>
    <row r="777" spans="21:21" x14ac:dyDescent="0.25">
      <c r="U777" s="3"/>
    </row>
    <row r="778" spans="21:21" x14ac:dyDescent="0.25">
      <c r="U778"/>
    </row>
    <row r="779" spans="21:21" x14ac:dyDescent="0.25">
      <c r="U779"/>
    </row>
    <row r="780" spans="21:21" x14ac:dyDescent="0.25">
      <c r="U780"/>
    </row>
    <row r="781" spans="21:21" x14ac:dyDescent="0.25">
      <c r="U781"/>
    </row>
    <row r="782" spans="21:21" x14ac:dyDescent="0.25">
      <c r="U782"/>
    </row>
    <row r="783" spans="21:21" x14ac:dyDescent="0.25">
      <c r="U783"/>
    </row>
    <row r="784" spans="21:21" x14ac:dyDescent="0.25">
      <c r="U784"/>
    </row>
    <row r="785" spans="21:21" x14ac:dyDescent="0.25">
      <c r="U785"/>
    </row>
    <row r="786" spans="21:21" x14ac:dyDescent="0.25">
      <c r="U786" s="3"/>
    </row>
    <row r="787" spans="21:21" x14ac:dyDescent="0.25">
      <c r="U787" s="3"/>
    </row>
    <row r="788" spans="21:21" x14ac:dyDescent="0.25">
      <c r="U788"/>
    </row>
    <row r="789" spans="21:21" x14ac:dyDescent="0.25">
      <c r="U789"/>
    </row>
    <row r="790" spans="21:21" x14ac:dyDescent="0.25">
      <c r="U790"/>
    </row>
    <row r="791" spans="21:21" x14ac:dyDescent="0.25">
      <c r="U791"/>
    </row>
    <row r="792" spans="21:21" x14ac:dyDescent="0.25">
      <c r="U792"/>
    </row>
    <row r="793" spans="21:21" x14ac:dyDescent="0.25">
      <c r="U793"/>
    </row>
    <row r="794" spans="21:21" x14ac:dyDescent="0.25">
      <c r="U794"/>
    </row>
    <row r="795" spans="21:21" x14ac:dyDescent="0.25">
      <c r="U795"/>
    </row>
    <row r="796" spans="21:21" x14ac:dyDescent="0.25">
      <c r="U796"/>
    </row>
    <row r="797" spans="21:21" x14ac:dyDescent="0.25">
      <c r="U797"/>
    </row>
    <row r="798" spans="21:21" x14ac:dyDescent="0.25">
      <c r="U798"/>
    </row>
    <row r="799" spans="21:21" x14ac:dyDescent="0.25">
      <c r="U799"/>
    </row>
    <row r="800" spans="21:21" x14ac:dyDescent="0.25">
      <c r="U800"/>
    </row>
    <row r="801" spans="21:21" x14ac:dyDescent="0.25">
      <c r="U801"/>
    </row>
    <row r="802" spans="21:21" x14ac:dyDescent="0.25">
      <c r="U802"/>
    </row>
    <row r="803" spans="21:21" x14ac:dyDescent="0.25">
      <c r="U803"/>
    </row>
    <row r="804" spans="21:21" x14ac:dyDescent="0.25">
      <c r="U804"/>
    </row>
    <row r="805" spans="21:21" x14ac:dyDescent="0.25">
      <c r="U805"/>
    </row>
    <row r="806" spans="21:21" x14ac:dyDescent="0.25">
      <c r="U806"/>
    </row>
    <row r="807" spans="21:21" x14ac:dyDescent="0.25">
      <c r="U807"/>
    </row>
    <row r="808" spans="21:21" x14ac:dyDescent="0.25">
      <c r="U808"/>
    </row>
    <row r="809" spans="21:21" x14ac:dyDescent="0.25">
      <c r="U809"/>
    </row>
    <row r="810" spans="21:21" x14ac:dyDescent="0.25">
      <c r="U810"/>
    </row>
    <row r="811" spans="21:21" x14ac:dyDescent="0.25">
      <c r="U811" s="3"/>
    </row>
    <row r="812" spans="21:21" x14ac:dyDescent="0.25">
      <c r="U812" s="3"/>
    </row>
    <row r="813" spans="21:21" x14ac:dyDescent="0.25">
      <c r="U813" s="3"/>
    </row>
    <row r="814" spans="21:21" x14ac:dyDescent="0.25">
      <c r="U814"/>
    </row>
    <row r="815" spans="21:21" x14ac:dyDescent="0.25">
      <c r="U815"/>
    </row>
    <row r="816" spans="21:21" x14ac:dyDescent="0.25">
      <c r="U816" s="3"/>
    </row>
    <row r="817" spans="21:21" x14ac:dyDescent="0.25">
      <c r="U817" s="3"/>
    </row>
    <row r="818" spans="21:21" x14ac:dyDescent="0.25">
      <c r="U818"/>
    </row>
    <row r="819" spans="21:21" x14ac:dyDescent="0.25">
      <c r="U819"/>
    </row>
    <row r="820" spans="21:21" x14ac:dyDescent="0.25">
      <c r="U820"/>
    </row>
    <row r="821" spans="21:21" x14ac:dyDescent="0.25">
      <c r="U821" s="3"/>
    </row>
    <row r="822" spans="21:21" x14ac:dyDescent="0.25">
      <c r="U822" s="3"/>
    </row>
    <row r="823" spans="21:21" x14ac:dyDescent="0.25">
      <c r="U823" s="3"/>
    </row>
    <row r="824" spans="21:21" x14ac:dyDescent="0.25">
      <c r="U824"/>
    </row>
    <row r="825" spans="21:21" x14ac:dyDescent="0.25">
      <c r="U825" s="3"/>
    </row>
    <row r="826" spans="21:21" x14ac:dyDescent="0.25">
      <c r="U826" s="3"/>
    </row>
    <row r="827" spans="21:21" x14ac:dyDescent="0.25">
      <c r="U827" s="3"/>
    </row>
    <row r="828" spans="21:21" x14ac:dyDescent="0.25">
      <c r="U828"/>
    </row>
    <row r="829" spans="21:21" x14ac:dyDescent="0.25">
      <c r="U829" s="3"/>
    </row>
    <row r="830" spans="21:21" x14ac:dyDescent="0.25">
      <c r="U830" s="3"/>
    </row>
    <row r="831" spans="21:21" x14ac:dyDescent="0.25">
      <c r="U831"/>
    </row>
    <row r="832" spans="21:21" x14ac:dyDescent="0.25">
      <c r="U832" s="3"/>
    </row>
    <row r="833" spans="21:21" x14ac:dyDescent="0.25">
      <c r="U833" s="3"/>
    </row>
    <row r="834" spans="21:21" x14ac:dyDescent="0.25">
      <c r="U834"/>
    </row>
    <row r="835" spans="21:21" x14ac:dyDescent="0.25">
      <c r="U835" s="3"/>
    </row>
    <row r="836" spans="21:21" x14ac:dyDescent="0.25">
      <c r="U836" s="3"/>
    </row>
    <row r="837" spans="21:21" x14ac:dyDescent="0.25">
      <c r="U837" s="3"/>
    </row>
    <row r="838" spans="21:21" x14ac:dyDescent="0.25">
      <c r="U838"/>
    </row>
    <row r="839" spans="21:21" x14ac:dyDescent="0.25">
      <c r="U839"/>
    </row>
    <row r="840" spans="21:21" x14ac:dyDescent="0.25">
      <c r="U840"/>
    </row>
    <row r="841" spans="21:21" x14ac:dyDescent="0.25">
      <c r="U841"/>
    </row>
    <row r="842" spans="21:21" x14ac:dyDescent="0.25">
      <c r="U842"/>
    </row>
  </sheetData>
  <pageMargins left="0.7" right="0.7" top="0.75" bottom="0.75" header="0.3" footer="0.3"/>
  <pageSetup orientation="portrait" r:id="rId1"/>
  <ignoredErrors>
    <ignoredError sqref="A2:A6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A4A7-35DD-4D12-A4D6-4FB5FC4A3918}">
  <dimension ref="A1:D613"/>
  <sheetViews>
    <sheetView topLeftCell="A586" workbookViewId="0">
      <selection activeCell="D614" sqref="D614"/>
    </sheetView>
  </sheetViews>
  <sheetFormatPr defaultRowHeight="15" x14ac:dyDescent="0.25"/>
  <cols>
    <col min="2" max="3" width="68.85546875" bestFit="1" customWidth="1"/>
  </cols>
  <sheetData>
    <row r="1" spans="1:4" x14ac:dyDescent="0.25">
      <c r="A1" t="s">
        <v>942</v>
      </c>
      <c r="B1" t="s">
        <v>1560</v>
      </c>
      <c r="C1" t="s">
        <v>1559</v>
      </c>
      <c r="D1" t="s">
        <v>1561</v>
      </c>
    </row>
    <row r="2" spans="1:4" x14ac:dyDescent="0.25">
      <c r="A2">
        <v>1</v>
      </c>
      <c r="B2" t="s">
        <v>22</v>
      </c>
      <c r="C2" t="str">
        <f>dummys!B2</f>
        <v>Alimentos y Bebidas No Alcohólicas</v>
      </c>
      <c r="D2" t="b">
        <f>C2=B2</f>
        <v>1</v>
      </c>
    </row>
    <row r="3" spans="1:4" x14ac:dyDescent="0.25">
      <c r="A3">
        <v>11</v>
      </c>
      <c r="B3" t="s">
        <v>14</v>
      </c>
      <c r="C3" t="str">
        <f>dummys!B3</f>
        <v>Alimentos</v>
      </c>
      <c r="D3" t="b">
        <f t="shared" ref="D3:D66" si="0">C3=B3</f>
        <v>1</v>
      </c>
    </row>
    <row r="4" spans="1:4" x14ac:dyDescent="0.25">
      <c r="A4">
        <v>111</v>
      </c>
      <c r="B4" t="s">
        <v>23</v>
      </c>
      <c r="C4" t="str">
        <f>dummys!B4</f>
        <v>Pan y cereales</v>
      </c>
      <c r="D4" t="b">
        <f t="shared" si="0"/>
        <v>1</v>
      </c>
    </row>
    <row r="5" spans="1:4" x14ac:dyDescent="0.25">
      <c r="A5">
        <v>1111</v>
      </c>
      <c r="B5" t="s">
        <v>24</v>
      </c>
      <c r="C5" t="str">
        <f>dummys!B5</f>
        <v>Pan</v>
      </c>
      <c r="D5" t="b">
        <f t="shared" si="0"/>
        <v>1</v>
      </c>
    </row>
    <row r="6" spans="1:4" x14ac:dyDescent="0.25">
      <c r="A6">
        <v>111101</v>
      </c>
      <c r="B6" t="s">
        <v>26</v>
      </c>
      <c r="C6" t="str">
        <f>dummys!B6</f>
        <v>Pan sobado</v>
      </c>
      <c r="D6" t="b">
        <f t="shared" si="0"/>
        <v>1</v>
      </c>
    </row>
    <row r="7" spans="1:4" x14ac:dyDescent="0.25">
      <c r="A7">
        <v>111102</v>
      </c>
      <c r="B7" t="s">
        <v>28</v>
      </c>
      <c r="C7" t="str">
        <f>dummys!B7</f>
        <v>Pan de agua</v>
      </c>
      <c r="D7" t="b">
        <f t="shared" si="0"/>
        <v>1</v>
      </c>
    </row>
    <row r="8" spans="1:4" x14ac:dyDescent="0.25">
      <c r="A8">
        <v>111104</v>
      </c>
      <c r="B8" t="s">
        <v>30</v>
      </c>
      <c r="C8" t="str">
        <f>dummys!B8</f>
        <v>Pan Integral</v>
      </c>
      <c r="D8" t="b">
        <f t="shared" si="0"/>
        <v>1</v>
      </c>
    </row>
    <row r="9" spans="1:4" x14ac:dyDescent="0.25">
      <c r="A9">
        <v>1112</v>
      </c>
      <c r="B9" t="s">
        <v>32</v>
      </c>
      <c r="C9" t="str">
        <f>dummys!B9</f>
        <v>Galletas y productos de panadería</v>
      </c>
      <c r="D9" t="b">
        <f t="shared" si="0"/>
        <v>1</v>
      </c>
    </row>
    <row r="10" spans="1:4" x14ac:dyDescent="0.25">
      <c r="A10">
        <v>111201</v>
      </c>
      <c r="B10" t="s">
        <v>33</v>
      </c>
      <c r="C10" t="str">
        <f>dummys!B10</f>
        <v>Galletas saladas</v>
      </c>
      <c r="D10" t="b">
        <f t="shared" si="0"/>
        <v>1</v>
      </c>
    </row>
    <row r="11" spans="1:4" x14ac:dyDescent="0.25">
      <c r="A11">
        <v>111202</v>
      </c>
      <c r="B11" t="s">
        <v>35</v>
      </c>
      <c r="C11" t="str">
        <f>dummys!B11</f>
        <v>Bizcochos</v>
      </c>
      <c r="D11" t="b">
        <f t="shared" si="0"/>
        <v>1</v>
      </c>
    </row>
    <row r="12" spans="1:4" x14ac:dyDescent="0.25">
      <c r="A12">
        <v>111203</v>
      </c>
      <c r="B12" t="s">
        <v>37</v>
      </c>
      <c r="C12" t="str">
        <f>dummys!B12</f>
        <v>Galletas dulces</v>
      </c>
      <c r="D12" t="b">
        <f t="shared" si="0"/>
        <v>1</v>
      </c>
    </row>
    <row r="13" spans="1:4" x14ac:dyDescent="0.25">
      <c r="A13">
        <v>111204</v>
      </c>
      <c r="B13" t="s">
        <v>39</v>
      </c>
      <c r="C13" t="str">
        <f>dummys!B13</f>
        <v>Galletas de harina</v>
      </c>
      <c r="D13" t="b">
        <f t="shared" si="0"/>
        <v>1</v>
      </c>
    </row>
    <row r="14" spans="1:4" x14ac:dyDescent="0.25">
      <c r="A14">
        <v>111205</v>
      </c>
      <c r="B14" t="s">
        <v>41</v>
      </c>
      <c r="C14" t="str">
        <f>dummys!B14</f>
        <v>Galletas de soda</v>
      </c>
      <c r="D14" t="b">
        <f t="shared" si="0"/>
        <v>1</v>
      </c>
    </row>
    <row r="15" spans="1:4" x14ac:dyDescent="0.25">
      <c r="A15">
        <v>111206</v>
      </c>
      <c r="B15" t="s">
        <v>43</v>
      </c>
      <c r="C15" t="str">
        <f>dummys!B15</f>
        <v>Galletas integrales</v>
      </c>
      <c r="D15" t="b">
        <f t="shared" si="0"/>
        <v>1</v>
      </c>
    </row>
    <row r="16" spans="1:4" x14ac:dyDescent="0.25">
      <c r="A16">
        <v>1113</v>
      </c>
      <c r="B16" t="s">
        <v>45</v>
      </c>
      <c r="C16" t="str">
        <f>dummys!B16</f>
        <v>Cereales y harinas</v>
      </c>
      <c r="D16" t="b">
        <f t="shared" si="0"/>
        <v>1</v>
      </c>
    </row>
    <row r="17" spans="1:4" x14ac:dyDescent="0.25">
      <c r="A17">
        <v>111301</v>
      </c>
      <c r="B17" t="s">
        <v>46</v>
      </c>
      <c r="C17" t="str">
        <f>dummys!B17</f>
        <v>Corn Flakes</v>
      </c>
      <c r="D17" t="b">
        <f t="shared" si="0"/>
        <v>1</v>
      </c>
    </row>
    <row r="18" spans="1:4" x14ac:dyDescent="0.25">
      <c r="A18">
        <v>111302</v>
      </c>
      <c r="B18" t="s">
        <v>48</v>
      </c>
      <c r="C18" t="str">
        <f>dummys!B18</f>
        <v>Avena</v>
      </c>
      <c r="D18" t="b">
        <f t="shared" si="0"/>
        <v>1</v>
      </c>
    </row>
    <row r="19" spans="1:4" x14ac:dyDescent="0.25">
      <c r="A19">
        <v>111303</v>
      </c>
      <c r="B19" t="s">
        <v>50</v>
      </c>
      <c r="C19" t="str">
        <f>dummys!B19</f>
        <v>Harina de maíz</v>
      </c>
      <c r="D19" t="b">
        <f t="shared" si="0"/>
        <v>1</v>
      </c>
    </row>
    <row r="20" spans="1:4" x14ac:dyDescent="0.25">
      <c r="A20">
        <v>111304</v>
      </c>
      <c r="B20" t="s">
        <v>52</v>
      </c>
      <c r="C20" t="str">
        <f>dummys!B20</f>
        <v>Harina de trigo</v>
      </c>
      <c r="D20" t="b">
        <f t="shared" si="0"/>
        <v>1</v>
      </c>
    </row>
    <row r="21" spans="1:4" x14ac:dyDescent="0.25">
      <c r="A21">
        <v>111305</v>
      </c>
      <c r="B21" t="s">
        <v>54</v>
      </c>
      <c r="C21" t="str">
        <f>dummys!B21</f>
        <v>Cereales envasados</v>
      </c>
      <c r="D21" t="b">
        <f t="shared" si="0"/>
        <v>1</v>
      </c>
    </row>
    <row r="22" spans="1:4" x14ac:dyDescent="0.25">
      <c r="A22">
        <v>1114</v>
      </c>
      <c r="B22" t="s">
        <v>56</v>
      </c>
      <c r="C22" t="str">
        <f>dummys!B22</f>
        <v>Arroz</v>
      </c>
      <c r="D22" t="b">
        <f t="shared" si="0"/>
        <v>1</v>
      </c>
    </row>
    <row r="23" spans="1:4" x14ac:dyDescent="0.25">
      <c r="A23">
        <v>111401</v>
      </c>
      <c r="B23" t="s">
        <v>56</v>
      </c>
      <c r="C23" t="str">
        <f>dummys!B23</f>
        <v>Arroz</v>
      </c>
      <c r="D23" t="b">
        <f t="shared" si="0"/>
        <v>1</v>
      </c>
    </row>
    <row r="24" spans="1:4" x14ac:dyDescent="0.25">
      <c r="A24">
        <v>1115</v>
      </c>
      <c r="B24" t="s">
        <v>58</v>
      </c>
      <c r="C24" t="str">
        <f>dummys!B24</f>
        <v>Pastas alimenticias</v>
      </c>
      <c r="D24" t="b">
        <f t="shared" si="0"/>
        <v>1</v>
      </c>
    </row>
    <row r="25" spans="1:4" x14ac:dyDescent="0.25">
      <c r="A25">
        <v>111501</v>
      </c>
      <c r="B25" t="s">
        <v>59</v>
      </c>
      <c r="C25" t="str">
        <f>dummys!B25</f>
        <v>Spaghetti</v>
      </c>
      <c r="D25" t="b">
        <f t="shared" si="0"/>
        <v>1</v>
      </c>
    </row>
    <row r="26" spans="1:4" x14ac:dyDescent="0.25">
      <c r="A26">
        <v>111502</v>
      </c>
      <c r="B26" t="s">
        <v>61</v>
      </c>
      <c r="C26" t="str">
        <f>dummys!B26</f>
        <v>Fideos</v>
      </c>
      <c r="D26" t="b">
        <f t="shared" si="0"/>
        <v>1</v>
      </c>
    </row>
    <row r="27" spans="1:4" x14ac:dyDescent="0.25">
      <c r="A27">
        <v>111503</v>
      </c>
      <c r="B27" t="s">
        <v>63</v>
      </c>
      <c r="C27" t="str">
        <f>dummys!B27</f>
        <v>Pastas cortas</v>
      </c>
      <c r="D27" t="b">
        <f t="shared" si="0"/>
        <v>1</v>
      </c>
    </row>
    <row r="28" spans="1:4" x14ac:dyDescent="0.25">
      <c r="A28">
        <v>112</v>
      </c>
      <c r="B28" t="s">
        <v>65</v>
      </c>
      <c r="C28" t="str">
        <f>dummys!B28</f>
        <v>Carnes</v>
      </c>
      <c r="D28" t="b">
        <f t="shared" si="0"/>
        <v>1</v>
      </c>
    </row>
    <row r="29" spans="1:4" x14ac:dyDescent="0.25">
      <c r="A29">
        <v>1121</v>
      </c>
      <c r="B29" t="s">
        <v>66</v>
      </c>
      <c r="C29" t="str">
        <f>dummys!B29</f>
        <v>Carne de res</v>
      </c>
      <c r="D29" t="b">
        <f t="shared" si="0"/>
        <v>1</v>
      </c>
    </row>
    <row r="30" spans="1:4" x14ac:dyDescent="0.25">
      <c r="A30">
        <v>112101</v>
      </c>
      <c r="B30" t="s">
        <v>67</v>
      </c>
      <c r="C30" t="str">
        <f>dummys!B30</f>
        <v>Carne corriente de res</v>
      </c>
      <c r="D30" t="b">
        <f t="shared" si="0"/>
        <v>1</v>
      </c>
    </row>
    <row r="31" spans="1:4" x14ac:dyDescent="0.25">
      <c r="A31">
        <v>112102</v>
      </c>
      <c r="B31" t="s">
        <v>69</v>
      </c>
      <c r="C31" t="str">
        <f>dummys!B31</f>
        <v>Carne de bola</v>
      </c>
      <c r="D31" t="b">
        <f t="shared" si="0"/>
        <v>1</v>
      </c>
    </row>
    <row r="32" spans="1:4" x14ac:dyDescent="0.25">
      <c r="A32">
        <v>112103</v>
      </c>
      <c r="B32" t="s">
        <v>71</v>
      </c>
      <c r="C32" t="str">
        <f>dummys!B32</f>
        <v>Carne molida de res</v>
      </c>
      <c r="D32" t="b">
        <f t="shared" si="0"/>
        <v>1</v>
      </c>
    </row>
    <row r="33" spans="1:4" x14ac:dyDescent="0.25">
      <c r="A33">
        <v>1122</v>
      </c>
      <c r="B33" t="s">
        <v>73</v>
      </c>
      <c r="C33" t="str">
        <f>dummys!B33</f>
        <v>Carne de aves</v>
      </c>
      <c r="D33" t="b">
        <f t="shared" si="0"/>
        <v>1</v>
      </c>
    </row>
    <row r="34" spans="1:4" x14ac:dyDescent="0.25">
      <c r="A34">
        <v>112201</v>
      </c>
      <c r="B34" t="s">
        <v>74</v>
      </c>
      <c r="C34" t="str">
        <f>dummys!B34</f>
        <v>Pollo fresco</v>
      </c>
      <c r="D34" t="b">
        <f t="shared" si="0"/>
        <v>1</v>
      </c>
    </row>
    <row r="35" spans="1:4" x14ac:dyDescent="0.25">
      <c r="A35">
        <v>112202</v>
      </c>
      <c r="B35" t="s">
        <v>76</v>
      </c>
      <c r="C35" t="str">
        <f>dummys!B35</f>
        <v>Carne de gallina</v>
      </c>
      <c r="D35" t="b">
        <f t="shared" si="0"/>
        <v>1</v>
      </c>
    </row>
    <row r="36" spans="1:4" x14ac:dyDescent="0.25">
      <c r="A36">
        <v>112203</v>
      </c>
      <c r="B36" t="s">
        <v>78</v>
      </c>
      <c r="C36" t="str">
        <f>dummys!B36</f>
        <v>Pechuga de pollo</v>
      </c>
      <c r="D36" t="b">
        <f t="shared" si="0"/>
        <v>1</v>
      </c>
    </row>
    <row r="37" spans="1:4" x14ac:dyDescent="0.25">
      <c r="A37">
        <v>1123</v>
      </c>
      <c r="B37" t="s">
        <v>80</v>
      </c>
      <c r="C37" t="str">
        <f>dummys!B37</f>
        <v>Carne de cerdo</v>
      </c>
      <c r="D37" t="b">
        <f t="shared" si="0"/>
        <v>1</v>
      </c>
    </row>
    <row r="38" spans="1:4" x14ac:dyDescent="0.25">
      <c r="A38">
        <v>112301</v>
      </c>
      <c r="B38" t="s">
        <v>81</v>
      </c>
      <c r="C38" t="str">
        <f>dummys!B38</f>
        <v>Carne corriente de cerdo</v>
      </c>
      <c r="D38" t="b">
        <f t="shared" si="0"/>
        <v>1</v>
      </c>
    </row>
    <row r="39" spans="1:4" x14ac:dyDescent="0.25">
      <c r="A39">
        <v>112302</v>
      </c>
      <c r="B39" t="s">
        <v>83</v>
      </c>
      <c r="C39" t="str">
        <f>dummys!B39</f>
        <v>Chuleta de cerdo</v>
      </c>
      <c r="D39" t="b">
        <f t="shared" si="0"/>
        <v>1</v>
      </c>
    </row>
    <row r="40" spans="1:4" x14ac:dyDescent="0.25">
      <c r="A40">
        <v>112304</v>
      </c>
      <c r="B40" t="s">
        <v>85</v>
      </c>
      <c r="C40" t="str">
        <f>dummys!B40</f>
        <v>Pierna de cerdo</v>
      </c>
      <c r="D40" t="b">
        <f t="shared" si="0"/>
        <v>1</v>
      </c>
    </row>
    <row r="41" spans="1:4" x14ac:dyDescent="0.25">
      <c r="A41">
        <v>112305</v>
      </c>
      <c r="B41" t="s">
        <v>87</v>
      </c>
      <c r="C41" t="str">
        <f>dummys!B41</f>
        <v>Costillas de cerdo</v>
      </c>
      <c r="D41" t="b">
        <f t="shared" si="0"/>
        <v>1</v>
      </c>
    </row>
    <row r="42" spans="1:4" x14ac:dyDescent="0.25">
      <c r="A42">
        <v>1124</v>
      </c>
      <c r="B42" t="s">
        <v>89</v>
      </c>
      <c r="C42" t="str">
        <f>dummys!B42</f>
        <v>Otras carnes</v>
      </c>
      <c r="D42" t="b">
        <f t="shared" si="0"/>
        <v>1</v>
      </c>
    </row>
    <row r="43" spans="1:4" x14ac:dyDescent="0.25">
      <c r="A43">
        <v>112402</v>
      </c>
      <c r="B43" t="s">
        <v>90</v>
      </c>
      <c r="C43" t="str">
        <f>dummys!B43</f>
        <v>Hígado de res</v>
      </c>
      <c r="D43" t="b">
        <f t="shared" si="0"/>
        <v>1</v>
      </c>
    </row>
    <row r="44" spans="1:4" x14ac:dyDescent="0.25">
      <c r="A44">
        <v>1125</v>
      </c>
      <c r="B44" t="s">
        <v>92</v>
      </c>
      <c r="C44" t="str">
        <f>dummys!B44</f>
        <v>Embutidos y carnes preparadas</v>
      </c>
      <c r="D44" t="b">
        <f t="shared" si="0"/>
        <v>1</v>
      </c>
    </row>
    <row r="45" spans="1:4" x14ac:dyDescent="0.25">
      <c r="A45">
        <v>112501</v>
      </c>
      <c r="B45" t="s">
        <v>93</v>
      </c>
      <c r="C45" t="str">
        <f>dummys!B45</f>
        <v>Salami</v>
      </c>
      <c r="D45" t="b">
        <f t="shared" si="0"/>
        <v>1</v>
      </c>
    </row>
    <row r="46" spans="1:4" x14ac:dyDescent="0.25">
      <c r="A46">
        <v>112502</v>
      </c>
      <c r="B46" t="s">
        <v>95</v>
      </c>
      <c r="C46" t="str">
        <f>dummys!B46</f>
        <v>Chuleta ahumada</v>
      </c>
      <c r="D46" t="b">
        <f t="shared" si="0"/>
        <v>1</v>
      </c>
    </row>
    <row r="47" spans="1:4" x14ac:dyDescent="0.25">
      <c r="A47">
        <v>112503</v>
      </c>
      <c r="B47" t="s">
        <v>97</v>
      </c>
      <c r="C47" t="str">
        <f>dummys!B47</f>
        <v>Jamones</v>
      </c>
      <c r="D47" t="b">
        <f t="shared" si="0"/>
        <v>1</v>
      </c>
    </row>
    <row r="48" spans="1:4" x14ac:dyDescent="0.25">
      <c r="A48">
        <v>112504</v>
      </c>
      <c r="B48" t="s">
        <v>99</v>
      </c>
      <c r="C48" t="str">
        <f>dummys!B48</f>
        <v>Longaniza</v>
      </c>
      <c r="D48" t="b">
        <f t="shared" si="0"/>
        <v>1</v>
      </c>
    </row>
    <row r="49" spans="1:4" x14ac:dyDescent="0.25">
      <c r="A49">
        <v>112506</v>
      </c>
      <c r="B49" t="s">
        <v>101</v>
      </c>
      <c r="C49" t="str">
        <f>dummys!B49</f>
        <v>Salchichas</v>
      </c>
      <c r="D49" t="b">
        <f t="shared" si="0"/>
        <v>1</v>
      </c>
    </row>
    <row r="50" spans="1:4" x14ac:dyDescent="0.25">
      <c r="A50">
        <v>112507</v>
      </c>
      <c r="B50" t="s">
        <v>103</v>
      </c>
      <c r="C50" t="str">
        <f>dummys!B50</f>
        <v>Costillita ahumada de cerdo</v>
      </c>
      <c r="D50" t="b">
        <f t="shared" si="0"/>
        <v>1</v>
      </c>
    </row>
    <row r="51" spans="1:4" x14ac:dyDescent="0.25">
      <c r="A51">
        <v>112508</v>
      </c>
      <c r="B51" t="s">
        <v>105</v>
      </c>
      <c r="C51" t="str">
        <f>dummys!B51</f>
        <v>Jamoneta</v>
      </c>
      <c r="D51" t="b">
        <f t="shared" si="0"/>
        <v>1</v>
      </c>
    </row>
    <row r="52" spans="1:4" x14ac:dyDescent="0.25">
      <c r="A52">
        <v>113</v>
      </c>
      <c r="B52" t="s">
        <v>107</v>
      </c>
      <c r="C52" t="str">
        <f>dummys!B52</f>
        <v>Pescado</v>
      </c>
      <c r="D52" t="b">
        <f t="shared" si="0"/>
        <v>1</v>
      </c>
    </row>
    <row r="53" spans="1:4" x14ac:dyDescent="0.25">
      <c r="A53">
        <v>1131</v>
      </c>
      <c r="B53" t="s">
        <v>108</v>
      </c>
      <c r="C53" t="str">
        <f>dummys!B53</f>
        <v>Pescados y mariscos frescos, refrigerados y congelados</v>
      </c>
      <c r="D53" t="b">
        <f t="shared" si="0"/>
        <v>1</v>
      </c>
    </row>
    <row r="54" spans="1:4" x14ac:dyDescent="0.25">
      <c r="A54">
        <v>113101</v>
      </c>
      <c r="B54" t="s">
        <v>109</v>
      </c>
      <c r="C54" t="str">
        <f>dummys!B54</f>
        <v>Pescado fresco y refrigerado</v>
      </c>
      <c r="D54" t="b">
        <f t="shared" si="0"/>
        <v>1</v>
      </c>
    </row>
    <row r="55" spans="1:4" x14ac:dyDescent="0.25">
      <c r="A55">
        <v>113102</v>
      </c>
      <c r="B55" t="s">
        <v>111</v>
      </c>
      <c r="C55" t="str">
        <f>dummys!B55</f>
        <v>Camarones</v>
      </c>
      <c r="D55" t="b">
        <f t="shared" si="0"/>
        <v>1</v>
      </c>
    </row>
    <row r="56" spans="1:4" x14ac:dyDescent="0.25">
      <c r="A56">
        <v>113103</v>
      </c>
      <c r="B56" t="s">
        <v>113</v>
      </c>
      <c r="C56" t="str">
        <f>dummys!B56</f>
        <v>Tilapia</v>
      </c>
      <c r="D56" t="b">
        <f t="shared" si="0"/>
        <v>1</v>
      </c>
    </row>
    <row r="57" spans="1:4" x14ac:dyDescent="0.25">
      <c r="A57">
        <v>1132</v>
      </c>
      <c r="B57" t="s">
        <v>115</v>
      </c>
      <c r="C57" t="str">
        <f>dummys!B57</f>
        <v>Pescados procesados y en conserva</v>
      </c>
      <c r="D57" t="b">
        <f t="shared" si="0"/>
        <v>1</v>
      </c>
    </row>
    <row r="58" spans="1:4" x14ac:dyDescent="0.25">
      <c r="A58">
        <v>113201</v>
      </c>
      <c r="B58" t="s">
        <v>116</v>
      </c>
      <c r="C58" t="str">
        <f>dummys!B58</f>
        <v>Bacalao</v>
      </c>
      <c r="D58" t="b">
        <f t="shared" si="0"/>
        <v>1</v>
      </c>
    </row>
    <row r="59" spans="1:4" x14ac:dyDescent="0.25">
      <c r="A59">
        <v>113202</v>
      </c>
      <c r="B59" t="s">
        <v>118</v>
      </c>
      <c r="C59" t="str">
        <f>dummys!B59</f>
        <v>Sardinas</v>
      </c>
      <c r="D59" t="b">
        <f t="shared" si="0"/>
        <v>1</v>
      </c>
    </row>
    <row r="60" spans="1:4" x14ac:dyDescent="0.25">
      <c r="A60">
        <v>113203</v>
      </c>
      <c r="B60" t="s">
        <v>120</v>
      </c>
      <c r="C60" t="str">
        <f>dummys!B60</f>
        <v>Arenque</v>
      </c>
      <c r="D60" t="b">
        <f t="shared" si="0"/>
        <v>1</v>
      </c>
    </row>
    <row r="61" spans="1:4" x14ac:dyDescent="0.25">
      <c r="A61">
        <v>113204</v>
      </c>
      <c r="B61" t="s">
        <v>122</v>
      </c>
      <c r="C61" t="str">
        <f>dummys!B61</f>
        <v>Atún</v>
      </c>
      <c r="D61" t="b">
        <f t="shared" si="0"/>
        <v>1</v>
      </c>
    </row>
    <row r="62" spans="1:4" x14ac:dyDescent="0.25">
      <c r="A62">
        <v>114</v>
      </c>
      <c r="B62" t="s">
        <v>124</v>
      </c>
      <c r="C62" t="str">
        <f>dummys!B62</f>
        <v>Leche, queso y huevos</v>
      </c>
      <c r="D62" t="b">
        <f t="shared" si="0"/>
        <v>1</v>
      </c>
    </row>
    <row r="63" spans="1:4" x14ac:dyDescent="0.25">
      <c r="A63">
        <v>1141</v>
      </c>
      <c r="B63" t="s">
        <v>125</v>
      </c>
      <c r="C63" t="str">
        <f>dummys!B63</f>
        <v>Leche</v>
      </c>
      <c r="D63" t="b">
        <f t="shared" si="0"/>
        <v>1</v>
      </c>
    </row>
    <row r="64" spans="1:4" x14ac:dyDescent="0.25">
      <c r="A64">
        <v>114101</v>
      </c>
      <c r="B64" t="s">
        <v>126</v>
      </c>
      <c r="C64" t="str">
        <f>dummys!B64</f>
        <v>Leche en polvo</v>
      </c>
      <c r="D64" t="b">
        <f t="shared" si="0"/>
        <v>1</v>
      </c>
    </row>
    <row r="65" spans="1:4" x14ac:dyDescent="0.25">
      <c r="A65">
        <v>114102</v>
      </c>
      <c r="B65" t="s">
        <v>128</v>
      </c>
      <c r="C65" t="str">
        <f>dummys!B65</f>
        <v>Leche evaporada</v>
      </c>
      <c r="D65" t="b">
        <f t="shared" si="0"/>
        <v>1</v>
      </c>
    </row>
    <row r="66" spans="1:4" x14ac:dyDescent="0.25">
      <c r="A66">
        <v>114103</v>
      </c>
      <c r="B66" t="s">
        <v>130</v>
      </c>
      <c r="C66" t="str">
        <f>dummys!B66</f>
        <v>Leche líquida</v>
      </c>
      <c r="D66" t="b">
        <f t="shared" si="0"/>
        <v>1</v>
      </c>
    </row>
    <row r="67" spans="1:4" x14ac:dyDescent="0.25">
      <c r="A67">
        <v>114104</v>
      </c>
      <c r="B67" t="s">
        <v>132</v>
      </c>
      <c r="C67" t="str">
        <f>dummys!B67</f>
        <v>Leche maternizada</v>
      </c>
      <c r="D67" t="b">
        <f t="shared" ref="D67:D130" si="1">C67=B67</f>
        <v>1</v>
      </c>
    </row>
    <row r="68" spans="1:4" x14ac:dyDescent="0.25">
      <c r="A68">
        <v>114105</v>
      </c>
      <c r="B68" t="s">
        <v>1555</v>
      </c>
      <c r="C68" t="str">
        <f>dummys!B68</f>
        <v>Suplementos alimenticios</v>
      </c>
      <c r="D68" t="b">
        <f t="shared" si="1"/>
        <v>0</v>
      </c>
    </row>
    <row r="69" spans="1:4" x14ac:dyDescent="0.25">
      <c r="A69">
        <v>114106</v>
      </c>
      <c r="B69" t="s">
        <v>136</v>
      </c>
      <c r="C69" t="str">
        <f>dummys!B69</f>
        <v>Leche de origen vegetal</v>
      </c>
      <c r="D69" t="b">
        <f t="shared" si="1"/>
        <v>1</v>
      </c>
    </row>
    <row r="70" spans="1:4" x14ac:dyDescent="0.25">
      <c r="A70">
        <v>114107</v>
      </c>
      <c r="B70" t="s">
        <v>138</v>
      </c>
      <c r="C70" t="str">
        <f>dummys!B70</f>
        <v>Leche saborizada</v>
      </c>
      <c r="D70" t="b">
        <f t="shared" si="1"/>
        <v>1</v>
      </c>
    </row>
    <row r="71" spans="1:4" x14ac:dyDescent="0.25">
      <c r="A71">
        <v>114108</v>
      </c>
      <c r="B71" t="s">
        <v>140</v>
      </c>
      <c r="C71" t="str">
        <f>dummys!B71</f>
        <v>Leche reforzada</v>
      </c>
      <c r="D71" t="b">
        <f t="shared" si="1"/>
        <v>1</v>
      </c>
    </row>
    <row r="72" spans="1:4" x14ac:dyDescent="0.25">
      <c r="A72">
        <v>1142</v>
      </c>
      <c r="B72" t="s">
        <v>142</v>
      </c>
      <c r="C72" t="str">
        <f>dummys!B72</f>
        <v>Quesos</v>
      </c>
      <c r="D72" t="b">
        <f t="shared" si="1"/>
        <v>1</v>
      </c>
    </row>
    <row r="73" spans="1:4" x14ac:dyDescent="0.25">
      <c r="A73">
        <v>114201</v>
      </c>
      <c r="B73" t="s">
        <v>143</v>
      </c>
      <c r="C73" t="str">
        <f>dummys!B73</f>
        <v>Queso blanco</v>
      </c>
      <c r="D73" t="b">
        <f t="shared" si="1"/>
        <v>1</v>
      </c>
    </row>
    <row r="74" spans="1:4" x14ac:dyDescent="0.25">
      <c r="A74">
        <v>114202</v>
      </c>
      <c r="B74" t="s">
        <v>145</v>
      </c>
      <c r="C74" t="str">
        <f>dummys!B74</f>
        <v>Queso cheddar amarillo</v>
      </c>
      <c r="D74" t="b">
        <f t="shared" si="1"/>
        <v>1</v>
      </c>
    </row>
    <row r="75" spans="1:4" x14ac:dyDescent="0.25">
      <c r="A75">
        <v>114203</v>
      </c>
      <c r="B75" t="s">
        <v>147</v>
      </c>
      <c r="C75" t="str">
        <f>dummys!B75</f>
        <v>Queso holandés</v>
      </c>
      <c r="D75" t="b">
        <f t="shared" si="1"/>
        <v>1</v>
      </c>
    </row>
    <row r="76" spans="1:4" x14ac:dyDescent="0.25">
      <c r="A76">
        <v>114204</v>
      </c>
      <c r="B76" t="s">
        <v>149</v>
      </c>
      <c r="C76" t="str">
        <f>dummys!B76</f>
        <v>Otros Quesos (Mozarella, Danes)</v>
      </c>
      <c r="D76" t="b">
        <f t="shared" si="1"/>
        <v>1</v>
      </c>
    </row>
    <row r="77" spans="1:4" x14ac:dyDescent="0.25">
      <c r="A77">
        <v>114205</v>
      </c>
      <c r="B77" t="s">
        <v>151</v>
      </c>
      <c r="C77" t="str">
        <f>dummys!B77</f>
        <v>Queso de hoja</v>
      </c>
      <c r="D77" t="b">
        <f t="shared" si="1"/>
        <v>1</v>
      </c>
    </row>
    <row r="78" spans="1:4" x14ac:dyDescent="0.25">
      <c r="A78">
        <v>1143</v>
      </c>
      <c r="B78" t="s">
        <v>153</v>
      </c>
      <c r="C78" t="str">
        <f>dummys!B78</f>
        <v>Yogurt y otros productos lácteos</v>
      </c>
      <c r="D78" t="b">
        <f t="shared" si="1"/>
        <v>1</v>
      </c>
    </row>
    <row r="79" spans="1:4" x14ac:dyDescent="0.25">
      <c r="A79">
        <v>114301</v>
      </c>
      <c r="B79" t="s">
        <v>154</v>
      </c>
      <c r="C79" t="str">
        <f>dummys!B79</f>
        <v>Yogurt</v>
      </c>
      <c r="D79" t="b">
        <f t="shared" si="1"/>
        <v>1</v>
      </c>
    </row>
    <row r="80" spans="1:4" x14ac:dyDescent="0.25">
      <c r="A80">
        <v>1144</v>
      </c>
      <c r="B80" t="s">
        <v>156</v>
      </c>
      <c r="C80" t="str">
        <f>dummys!B80</f>
        <v>Huevos</v>
      </c>
      <c r="D80" t="b">
        <f t="shared" si="1"/>
        <v>1</v>
      </c>
    </row>
    <row r="81" spans="1:4" x14ac:dyDescent="0.25">
      <c r="A81">
        <v>114401</v>
      </c>
      <c r="B81" t="s">
        <v>156</v>
      </c>
      <c r="C81" t="str">
        <f>dummys!B81</f>
        <v>Huevos</v>
      </c>
      <c r="D81" t="b">
        <f t="shared" si="1"/>
        <v>1</v>
      </c>
    </row>
    <row r="82" spans="1:4" x14ac:dyDescent="0.25">
      <c r="A82">
        <v>115</v>
      </c>
      <c r="B82" t="s">
        <v>158</v>
      </c>
      <c r="C82" t="str">
        <f>dummys!B82</f>
        <v>Aceites y grasas</v>
      </c>
      <c r="D82" t="b">
        <f t="shared" si="1"/>
        <v>1</v>
      </c>
    </row>
    <row r="83" spans="1:4" x14ac:dyDescent="0.25">
      <c r="A83">
        <v>1151</v>
      </c>
      <c r="B83" t="s">
        <v>159</v>
      </c>
      <c r="C83" t="str">
        <f>dummys!B83</f>
        <v>Aceites</v>
      </c>
      <c r="D83" t="b">
        <f t="shared" si="1"/>
        <v>1</v>
      </c>
    </row>
    <row r="84" spans="1:4" x14ac:dyDescent="0.25">
      <c r="A84">
        <v>115101</v>
      </c>
      <c r="B84" t="s">
        <v>160</v>
      </c>
      <c r="C84" t="str">
        <f>dummys!B84</f>
        <v>Aceite de soya</v>
      </c>
      <c r="D84" t="b">
        <f t="shared" si="1"/>
        <v>1</v>
      </c>
    </row>
    <row r="85" spans="1:4" x14ac:dyDescent="0.25">
      <c r="A85">
        <v>115104</v>
      </c>
      <c r="B85" t="s">
        <v>162</v>
      </c>
      <c r="C85" t="str">
        <f>dummys!B85</f>
        <v>Aceite puro de origen vegetal</v>
      </c>
      <c r="D85" t="b">
        <f t="shared" si="1"/>
        <v>1</v>
      </c>
    </row>
    <row r="86" spans="1:4" x14ac:dyDescent="0.25">
      <c r="A86">
        <v>1152</v>
      </c>
      <c r="B86" t="s">
        <v>164</v>
      </c>
      <c r="C86" t="str">
        <f>dummys!B86</f>
        <v>Margarina y mantequilla</v>
      </c>
      <c r="D86" t="b">
        <f t="shared" si="1"/>
        <v>1</v>
      </c>
    </row>
    <row r="87" spans="1:4" x14ac:dyDescent="0.25">
      <c r="A87">
        <v>115202</v>
      </c>
      <c r="B87" t="s">
        <v>165</v>
      </c>
      <c r="C87" t="str">
        <f>dummys!B87</f>
        <v>Margarina</v>
      </c>
      <c r="D87" t="b">
        <f t="shared" si="1"/>
        <v>1</v>
      </c>
    </row>
    <row r="88" spans="1:4" x14ac:dyDescent="0.25">
      <c r="A88">
        <v>116</v>
      </c>
      <c r="B88" t="s">
        <v>167</v>
      </c>
      <c r="C88" t="str">
        <f>dummys!B88</f>
        <v>Frutas</v>
      </c>
      <c r="D88" t="b">
        <f t="shared" si="1"/>
        <v>1</v>
      </c>
    </row>
    <row r="89" spans="1:4" x14ac:dyDescent="0.25">
      <c r="A89">
        <v>1161</v>
      </c>
      <c r="B89" t="s">
        <v>168</v>
      </c>
      <c r="C89" t="str">
        <f>dummys!B89</f>
        <v>Frutas frescas</v>
      </c>
      <c r="D89" t="b">
        <f t="shared" si="1"/>
        <v>1</v>
      </c>
    </row>
    <row r="90" spans="1:4" x14ac:dyDescent="0.25">
      <c r="A90">
        <v>116101</v>
      </c>
      <c r="B90" t="s">
        <v>169</v>
      </c>
      <c r="C90" t="str">
        <f>dummys!B90</f>
        <v>Plátano verde</v>
      </c>
      <c r="D90" t="b">
        <f t="shared" si="1"/>
        <v>1</v>
      </c>
    </row>
    <row r="91" spans="1:4" x14ac:dyDescent="0.25">
      <c r="A91">
        <v>116102</v>
      </c>
      <c r="B91" t="s">
        <v>171</v>
      </c>
      <c r="C91" t="str">
        <f>dummys!B91</f>
        <v>Guineo verde</v>
      </c>
      <c r="D91" t="b">
        <f t="shared" si="1"/>
        <v>1</v>
      </c>
    </row>
    <row r="92" spans="1:4" x14ac:dyDescent="0.25">
      <c r="A92">
        <v>116103</v>
      </c>
      <c r="B92" t="s">
        <v>173</v>
      </c>
      <c r="C92" t="str">
        <f>dummys!B92</f>
        <v>Aguacate</v>
      </c>
      <c r="D92" t="b">
        <f t="shared" si="1"/>
        <v>1</v>
      </c>
    </row>
    <row r="93" spans="1:4" x14ac:dyDescent="0.25">
      <c r="A93">
        <v>116104</v>
      </c>
      <c r="B93" t="s">
        <v>175</v>
      </c>
      <c r="C93" t="str">
        <f>dummys!B93</f>
        <v>Plátano maduro</v>
      </c>
      <c r="D93" t="b">
        <f t="shared" si="1"/>
        <v>1</v>
      </c>
    </row>
    <row r="94" spans="1:4" x14ac:dyDescent="0.25">
      <c r="A94">
        <v>116105</v>
      </c>
      <c r="B94" t="s">
        <v>177</v>
      </c>
      <c r="C94" t="str">
        <f>dummys!B94</f>
        <v>Lechoza</v>
      </c>
      <c r="D94" t="b">
        <f t="shared" si="1"/>
        <v>1</v>
      </c>
    </row>
    <row r="95" spans="1:4" x14ac:dyDescent="0.25">
      <c r="A95">
        <v>116106</v>
      </c>
      <c r="B95" t="s">
        <v>179</v>
      </c>
      <c r="C95" t="str">
        <f>dummys!B95</f>
        <v>Naranjas</v>
      </c>
      <c r="D95" t="b">
        <f t="shared" si="1"/>
        <v>1</v>
      </c>
    </row>
    <row r="96" spans="1:4" x14ac:dyDescent="0.25">
      <c r="A96">
        <v>116107</v>
      </c>
      <c r="B96" t="s">
        <v>181</v>
      </c>
      <c r="C96" t="str">
        <f>dummys!B96</f>
        <v>Limón agrio</v>
      </c>
      <c r="D96" t="b">
        <f t="shared" si="1"/>
        <v>1</v>
      </c>
    </row>
    <row r="97" spans="1:4" x14ac:dyDescent="0.25">
      <c r="A97">
        <v>116108</v>
      </c>
      <c r="B97" t="s">
        <v>183</v>
      </c>
      <c r="C97" t="str">
        <f>dummys!B97</f>
        <v>Guineo maduro</v>
      </c>
      <c r="D97" t="b">
        <f t="shared" si="1"/>
        <v>1</v>
      </c>
    </row>
    <row r="98" spans="1:4" x14ac:dyDescent="0.25">
      <c r="A98">
        <v>116109</v>
      </c>
      <c r="B98" t="s">
        <v>185</v>
      </c>
      <c r="C98" t="str">
        <f>dummys!B98</f>
        <v>Piña</v>
      </c>
      <c r="D98" t="b">
        <f t="shared" si="1"/>
        <v>1</v>
      </c>
    </row>
    <row r="99" spans="1:4" x14ac:dyDescent="0.25">
      <c r="A99">
        <v>116110</v>
      </c>
      <c r="B99" t="s">
        <v>187</v>
      </c>
      <c r="C99" t="str">
        <f>dummys!B99</f>
        <v>Manzanas</v>
      </c>
      <c r="D99" t="b">
        <f t="shared" si="1"/>
        <v>1</v>
      </c>
    </row>
    <row r="100" spans="1:4" x14ac:dyDescent="0.25">
      <c r="A100">
        <v>116112</v>
      </c>
      <c r="B100" t="s">
        <v>189</v>
      </c>
      <c r="C100" t="str">
        <f>dummys!B100</f>
        <v>Chinola</v>
      </c>
      <c r="D100" t="b">
        <f t="shared" si="1"/>
        <v>1</v>
      </c>
    </row>
    <row r="101" spans="1:4" x14ac:dyDescent="0.25">
      <c r="A101">
        <v>116113</v>
      </c>
      <c r="B101" t="s">
        <v>191</v>
      </c>
      <c r="C101" t="str">
        <f>dummys!B101</f>
        <v>Uvas</v>
      </c>
      <c r="D101" t="b">
        <f t="shared" si="1"/>
        <v>1</v>
      </c>
    </row>
    <row r="102" spans="1:4" x14ac:dyDescent="0.25">
      <c r="A102">
        <v>1162</v>
      </c>
      <c r="B102" t="s">
        <v>193</v>
      </c>
      <c r="C102" t="str">
        <f>dummys!B102</f>
        <v>Frutas secas y procesadas</v>
      </c>
      <c r="D102" t="b">
        <f t="shared" si="1"/>
        <v>1</v>
      </c>
    </row>
    <row r="103" spans="1:4" x14ac:dyDescent="0.25">
      <c r="A103">
        <v>116201</v>
      </c>
      <c r="B103" t="s">
        <v>194</v>
      </c>
      <c r="C103" t="str">
        <f>dummys!B103</f>
        <v>Cocos secos</v>
      </c>
      <c r="D103" t="b">
        <f t="shared" si="1"/>
        <v>1</v>
      </c>
    </row>
    <row r="104" spans="1:4" x14ac:dyDescent="0.25">
      <c r="A104">
        <v>117</v>
      </c>
      <c r="B104" t="s">
        <v>196</v>
      </c>
      <c r="C104" t="str">
        <f>dummys!B104</f>
        <v>Legumbres-Hortalizas</v>
      </c>
      <c r="D104" t="b">
        <f t="shared" si="1"/>
        <v>1</v>
      </c>
    </row>
    <row r="105" spans="1:4" x14ac:dyDescent="0.25">
      <c r="A105">
        <v>1171</v>
      </c>
      <c r="B105" t="s">
        <v>197</v>
      </c>
      <c r="C105" t="str">
        <f>dummys!B105</f>
        <v>Leguminosas</v>
      </c>
      <c r="D105" t="b">
        <f t="shared" si="1"/>
        <v>1</v>
      </c>
    </row>
    <row r="106" spans="1:4" x14ac:dyDescent="0.25">
      <c r="A106">
        <v>117101</v>
      </c>
      <c r="B106" t="s">
        <v>198</v>
      </c>
      <c r="C106" t="str">
        <f>dummys!B106</f>
        <v>Habichuelas pintas secas</v>
      </c>
      <c r="D106" t="b">
        <f t="shared" si="1"/>
        <v>1</v>
      </c>
    </row>
    <row r="107" spans="1:4" x14ac:dyDescent="0.25">
      <c r="A107">
        <v>117102</v>
      </c>
      <c r="B107" t="s">
        <v>200</v>
      </c>
      <c r="C107" t="str">
        <f>dummys!B107</f>
        <v>Habichuelas rojas secas</v>
      </c>
      <c r="D107" t="b">
        <f t="shared" si="1"/>
        <v>1</v>
      </c>
    </row>
    <row r="108" spans="1:4" x14ac:dyDescent="0.25">
      <c r="A108">
        <v>117103</v>
      </c>
      <c r="B108" t="s">
        <v>202</v>
      </c>
      <c r="C108" t="str">
        <f>dummys!B108</f>
        <v>Guandules verdes</v>
      </c>
      <c r="D108" t="b">
        <f t="shared" si="1"/>
        <v>1</v>
      </c>
    </row>
    <row r="109" spans="1:4" x14ac:dyDescent="0.25">
      <c r="A109">
        <v>117104</v>
      </c>
      <c r="B109" t="s">
        <v>204</v>
      </c>
      <c r="C109" t="str">
        <f>dummys!B109</f>
        <v>Habichuelas negras secas</v>
      </c>
      <c r="D109" t="b">
        <f t="shared" si="1"/>
        <v>1</v>
      </c>
    </row>
    <row r="110" spans="1:4" x14ac:dyDescent="0.25">
      <c r="A110">
        <v>1172</v>
      </c>
      <c r="B110" t="s">
        <v>206</v>
      </c>
      <c r="C110" t="str">
        <f>dummys!B110</f>
        <v>Tubérculos</v>
      </c>
      <c r="D110" t="b">
        <f t="shared" si="1"/>
        <v>1</v>
      </c>
    </row>
    <row r="111" spans="1:4" x14ac:dyDescent="0.25">
      <c r="A111">
        <v>117201</v>
      </c>
      <c r="B111" t="s">
        <v>207</v>
      </c>
      <c r="C111" t="str">
        <f>dummys!B111</f>
        <v>Yuca</v>
      </c>
      <c r="D111" t="b">
        <f t="shared" si="1"/>
        <v>1</v>
      </c>
    </row>
    <row r="112" spans="1:4" x14ac:dyDescent="0.25">
      <c r="A112">
        <v>117202</v>
      </c>
      <c r="B112" t="s">
        <v>209</v>
      </c>
      <c r="C112" t="str">
        <f>dummys!B112</f>
        <v>Papa</v>
      </c>
      <c r="D112" t="b">
        <f t="shared" si="1"/>
        <v>1</v>
      </c>
    </row>
    <row r="113" spans="1:4" x14ac:dyDescent="0.25">
      <c r="A113">
        <v>117203</v>
      </c>
      <c r="B113" t="s">
        <v>211</v>
      </c>
      <c r="C113" t="str">
        <f>dummys!B113</f>
        <v>Ñame</v>
      </c>
      <c r="D113" t="b">
        <f t="shared" si="1"/>
        <v>1</v>
      </c>
    </row>
    <row r="114" spans="1:4" x14ac:dyDescent="0.25">
      <c r="A114">
        <v>117204</v>
      </c>
      <c r="B114" t="s">
        <v>213</v>
      </c>
      <c r="C114" t="str">
        <f>dummys!B114</f>
        <v>Yautía</v>
      </c>
      <c r="D114" t="b">
        <f t="shared" si="1"/>
        <v>1</v>
      </c>
    </row>
    <row r="115" spans="1:4" x14ac:dyDescent="0.25">
      <c r="A115">
        <v>117205</v>
      </c>
      <c r="B115" t="s">
        <v>215</v>
      </c>
      <c r="C115" t="str">
        <f>dummys!B115</f>
        <v>Batata</v>
      </c>
      <c r="D115" t="b">
        <f t="shared" si="1"/>
        <v>1</v>
      </c>
    </row>
    <row r="116" spans="1:4" x14ac:dyDescent="0.25">
      <c r="A116">
        <v>1173</v>
      </c>
      <c r="B116" t="s">
        <v>217</v>
      </c>
      <c r="C116" t="str">
        <f>dummys!B116</f>
        <v>Hortalizas frescas</v>
      </c>
      <c r="D116" t="b">
        <f t="shared" si="1"/>
        <v>1</v>
      </c>
    </row>
    <row r="117" spans="1:4" x14ac:dyDescent="0.25">
      <c r="A117">
        <v>117301</v>
      </c>
      <c r="B117" t="s">
        <v>218</v>
      </c>
      <c r="C117" t="str">
        <f>dummys!B117</f>
        <v>Cebolla</v>
      </c>
      <c r="D117" t="b">
        <f t="shared" si="1"/>
        <v>1</v>
      </c>
    </row>
    <row r="118" spans="1:4" x14ac:dyDescent="0.25">
      <c r="A118">
        <v>117302</v>
      </c>
      <c r="B118" t="s">
        <v>220</v>
      </c>
      <c r="C118" t="str">
        <f>dummys!B118</f>
        <v>Ajo</v>
      </c>
      <c r="D118" t="b">
        <f t="shared" si="1"/>
        <v>1</v>
      </c>
    </row>
    <row r="119" spans="1:4" x14ac:dyDescent="0.25">
      <c r="A119">
        <v>117303</v>
      </c>
      <c r="B119" t="s">
        <v>222</v>
      </c>
      <c r="C119" t="str">
        <f>dummys!B119</f>
        <v>Ajíes</v>
      </c>
      <c r="D119" t="b">
        <f t="shared" si="1"/>
        <v>1</v>
      </c>
    </row>
    <row r="120" spans="1:4" x14ac:dyDescent="0.25">
      <c r="A120">
        <v>117304</v>
      </c>
      <c r="B120" t="s">
        <v>224</v>
      </c>
      <c r="C120" t="str">
        <f>dummys!B120</f>
        <v>Tomates</v>
      </c>
      <c r="D120" t="b">
        <f t="shared" si="1"/>
        <v>1</v>
      </c>
    </row>
    <row r="121" spans="1:4" x14ac:dyDescent="0.25">
      <c r="A121">
        <v>117305</v>
      </c>
      <c r="B121" t="s">
        <v>226</v>
      </c>
      <c r="C121" t="str">
        <f>dummys!B121</f>
        <v>Berenjena</v>
      </c>
      <c r="D121" t="b">
        <f t="shared" si="1"/>
        <v>1</v>
      </c>
    </row>
    <row r="122" spans="1:4" x14ac:dyDescent="0.25">
      <c r="A122">
        <v>117306</v>
      </c>
      <c r="B122" t="s">
        <v>228</v>
      </c>
      <c r="C122" t="str">
        <f>dummys!B122</f>
        <v>Auyama</v>
      </c>
      <c r="D122" t="b">
        <f t="shared" si="1"/>
        <v>1</v>
      </c>
    </row>
    <row r="123" spans="1:4" x14ac:dyDescent="0.25">
      <c r="A123">
        <v>117307</v>
      </c>
      <c r="B123" t="s">
        <v>230</v>
      </c>
      <c r="C123" t="str">
        <f>dummys!B123</f>
        <v>Lechuga</v>
      </c>
      <c r="D123" t="b">
        <f t="shared" si="1"/>
        <v>1</v>
      </c>
    </row>
    <row r="124" spans="1:4" x14ac:dyDescent="0.25">
      <c r="A124">
        <v>117308</v>
      </c>
      <c r="B124" t="s">
        <v>232</v>
      </c>
      <c r="C124" t="str">
        <f>dummys!B124</f>
        <v>Repollo</v>
      </c>
      <c r="D124" t="b">
        <f t="shared" si="1"/>
        <v>1</v>
      </c>
    </row>
    <row r="125" spans="1:4" x14ac:dyDescent="0.25">
      <c r="A125">
        <v>117309</v>
      </c>
      <c r="B125" t="s">
        <v>234</v>
      </c>
      <c r="C125" t="str">
        <f>dummys!B125</f>
        <v>Zanahoria</v>
      </c>
      <c r="D125" t="b">
        <f t="shared" si="1"/>
        <v>1</v>
      </c>
    </row>
    <row r="126" spans="1:4" x14ac:dyDescent="0.25">
      <c r="A126">
        <v>117310</v>
      </c>
      <c r="B126" t="s">
        <v>236</v>
      </c>
      <c r="C126" t="str">
        <f>dummys!B126</f>
        <v>Tayota</v>
      </c>
      <c r="D126" t="b">
        <f t="shared" si="1"/>
        <v>1</v>
      </c>
    </row>
    <row r="127" spans="1:4" x14ac:dyDescent="0.25">
      <c r="A127">
        <v>117311</v>
      </c>
      <c r="B127" t="s">
        <v>238</v>
      </c>
      <c r="C127" t="str">
        <f>dummys!B127</f>
        <v>Apio</v>
      </c>
      <c r="D127" t="b">
        <f t="shared" si="1"/>
        <v>1</v>
      </c>
    </row>
    <row r="128" spans="1:4" x14ac:dyDescent="0.25">
      <c r="A128">
        <v>117312</v>
      </c>
      <c r="B128" t="s">
        <v>240</v>
      </c>
      <c r="C128" t="str">
        <f>dummys!B128</f>
        <v>Pepino</v>
      </c>
      <c r="D128" t="b">
        <f t="shared" si="1"/>
        <v>1</v>
      </c>
    </row>
    <row r="129" spans="1:4" x14ac:dyDescent="0.25">
      <c r="A129">
        <v>117313</v>
      </c>
      <c r="B129" t="s">
        <v>242</v>
      </c>
      <c r="C129" t="str">
        <f>dummys!B129</f>
        <v>Brócoli y Coliflor</v>
      </c>
      <c r="D129" t="b">
        <f t="shared" si="1"/>
        <v>1</v>
      </c>
    </row>
    <row r="130" spans="1:4" x14ac:dyDescent="0.25">
      <c r="A130">
        <v>1174</v>
      </c>
      <c r="B130" t="s">
        <v>244</v>
      </c>
      <c r="C130" t="str">
        <f>dummys!B130</f>
        <v>Productos vegetales en conserva</v>
      </c>
      <c r="D130" t="b">
        <f t="shared" si="1"/>
        <v>1</v>
      </c>
    </row>
    <row r="131" spans="1:4" x14ac:dyDescent="0.25">
      <c r="A131">
        <v>117402</v>
      </c>
      <c r="B131" t="s">
        <v>245</v>
      </c>
      <c r="C131" t="str">
        <f>dummys!B131</f>
        <v>Guandules verdes en lata</v>
      </c>
      <c r="D131" t="b">
        <f t="shared" ref="D131:D194" si="2">C131=B131</f>
        <v>1</v>
      </c>
    </row>
    <row r="132" spans="1:4" x14ac:dyDescent="0.25">
      <c r="A132">
        <v>117403</v>
      </c>
      <c r="B132" t="s">
        <v>247</v>
      </c>
      <c r="C132" t="str">
        <f>dummys!B132</f>
        <v>Maíz en lata</v>
      </c>
      <c r="D132" t="b">
        <f t="shared" si="2"/>
        <v>1</v>
      </c>
    </row>
    <row r="133" spans="1:4" x14ac:dyDescent="0.25">
      <c r="A133">
        <v>1175</v>
      </c>
      <c r="B133" t="s">
        <v>249</v>
      </c>
      <c r="C133" t="str">
        <f>dummys!B133</f>
        <v>Derivados de tubérculos</v>
      </c>
      <c r="D133" t="b">
        <f t="shared" si="2"/>
        <v>1</v>
      </c>
    </row>
    <row r="134" spans="1:4" x14ac:dyDescent="0.25">
      <c r="A134">
        <v>117501</v>
      </c>
      <c r="B134" t="s">
        <v>250</v>
      </c>
      <c r="C134" t="str">
        <f>dummys!B134</f>
        <v>Papitas fritas snacks</v>
      </c>
      <c r="D134" t="b">
        <f t="shared" si="2"/>
        <v>1</v>
      </c>
    </row>
    <row r="135" spans="1:4" x14ac:dyDescent="0.25">
      <c r="A135">
        <v>117502</v>
      </c>
      <c r="B135" t="s">
        <v>252</v>
      </c>
      <c r="C135" t="str">
        <f>dummys!B135</f>
        <v>Snacks y picaderas de todo tipo (excepto papitas fritas)</v>
      </c>
      <c r="D135" t="b">
        <f t="shared" si="2"/>
        <v>1</v>
      </c>
    </row>
    <row r="136" spans="1:4" x14ac:dyDescent="0.25">
      <c r="A136">
        <v>118</v>
      </c>
      <c r="B136" t="s">
        <v>254</v>
      </c>
      <c r="C136" t="str">
        <f>dummys!B136</f>
        <v>Azúcar,  chocolate y dulces de azúcar</v>
      </c>
      <c r="D136" t="b">
        <f t="shared" si="2"/>
        <v>1</v>
      </c>
    </row>
    <row r="137" spans="1:4" x14ac:dyDescent="0.25">
      <c r="A137">
        <v>1181</v>
      </c>
      <c r="B137" t="s">
        <v>255</v>
      </c>
      <c r="C137" t="str">
        <f>dummys!B137</f>
        <v>Azúcar</v>
      </c>
      <c r="D137" t="b">
        <f t="shared" si="2"/>
        <v>1</v>
      </c>
    </row>
    <row r="138" spans="1:4" x14ac:dyDescent="0.25">
      <c r="A138">
        <v>118101</v>
      </c>
      <c r="B138" t="s">
        <v>256</v>
      </c>
      <c r="C138" t="str">
        <f>dummys!B138</f>
        <v>Azúcar morena</v>
      </c>
      <c r="D138" t="b">
        <f t="shared" si="2"/>
        <v>1</v>
      </c>
    </row>
    <row r="139" spans="1:4" x14ac:dyDescent="0.25">
      <c r="A139">
        <v>118102</v>
      </c>
      <c r="B139" t="s">
        <v>258</v>
      </c>
      <c r="C139" t="str">
        <f>dummys!B139</f>
        <v>Azúcar blanca refinada</v>
      </c>
      <c r="D139" t="b">
        <f t="shared" si="2"/>
        <v>1</v>
      </c>
    </row>
    <row r="140" spans="1:4" x14ac:dyDescent="0.25">
      <c r="A140">
        <v>1182</v>
      </c>
      <c r="B140" t="s">
        <v>260</v>
      </c>
      <c r="C140" t="str">
        <f>dummys!B140</f>
        <v>Dulces, chocolates y golosinas</v>
      </c>
      <c r="D140" t="b">
        <f t="shared" si="2"/>
        <v>1</v>
      </c>
    </row>
    <row r="141" spans="1:4" x14ac:dyDescent="0.25">
      <c r="A141">
        <v>118202</v>
      </c>
      <c r="B141" t="s">
        <v>261</v>
      </c>
      <c r="C141" t="str">
        <f>dummys!B141</f>
        <v>Chocolates dulces</v>
      </c>
      <c r="D141" t="b">
        <f t="shared" si="2"/>
        <v>1</v>
      </c>
    </row>
    <row r="142" spans="1:4" x14ac:dyDescent="0.25">
      <c r="A142">
        <v>118204</v>
      </c>
      <c r="B142" t="s">
        <v>263</v>
      </c>
      <c r="C142" t="str">
        <f>dummys!B142</f>
        <v>Miel</v>
      </c>
      <c r="D142" t="b">
        <f t="shared" si="2"/>
        <v>1</v>
      </c>
    </row>
    <row r="143" spans="1:4" x14ac:dyDescent="0.25">
      <c r="A143">
        <v>118205</v>
      </c>
      <c r="B143" t="s">
        <v>265</v>
      </c>
      <c r="C143" t="str">
        <f>dummys!B143</f>
        <v>Mentas y Chiclets</v>
      </c>
      <c r="D143" t="b">
        <f t="shared" si="2"/>
        <v>1</v>
      </c>
    </row>
    <row r="144" spans="1:4" x14ac:dyDescent="0.25">
      <c r="A144">
        <v>1183</v>
      </c>
      <c r="B144" t="s">
        <v>267</v>
      </c>
      <c r="C144" t="str">
        <f>dummys!B144</f>
        <v>Helados</v>
      </c>
      <c r="D144" t="b">
        <f t="shared" si="2"/>
        <v>1</v>
      </c>
    </row>
    <row r="145" spans="1:4" x14ac:dyDescent="0.25">
      <c r="A145">
        <v>118301</v>
      </c>
      <c r="B145" t="s">
        <v>267</v>
      </c>
      <c r="C145" t="str">
        <f>dummys!B145</f>
        <v>Helados</v>
      </c>
      <c r="D145" t="b">
        <f t="shared" si="2"/>
        <v>1</v>
      </c>
    </row>
    <row r="146" spans="1:4" x14ac:dyDescent="0.25">
      <c r="A146">
        <v>118302</v>
      </c>
      <c r="B146" t="s">
        <v>269</v>
      </c>
      <c r="C146" t="str">
        <f>dummys!B146</f>
        <v>Hielo</v>
      </c>
      <c r="D146" t="b">
        <f t="shared" si="2"/>
        <v>1</v>
      </c>
    </row>
    <row r="147" spans="1:4" x14ac:dyDescent="0.25">
      <c r="A147">
        <v>119</v>
      </c>
      <c r="B147" t="s">
        <v>271</v>
      </c>
      <c r="C147" t="str">
        <f>dummys!B147</f>
        <v>Otros productos alimenticios</v>
      </c>
      <c r="D147" t="b">
        <f t="shared" si="2"/>
        <v>1</v>
      </c>
    </row>
    <row r="148" spans="1:4" x14ac:dyDescent="0.25">
      <c r="A148">
        <v>1191</v>
      </c>
      <c r="B148" t="s">
        <v>272</v>
      </c>
      <c r="C148" t="str">
        <f>dummys!B148</f>
        <v>Sal</v>
      </c>
      <c r="D148" t="b">
        <f t="shared" si="2"/>
        <v>1</v>
      </c>
    </row>
    <row r="149" spans="1:4" x14ac:dyDescent="0.25">
      <c r="A149">
        <v>119101</v>
      </c>
      <c r="B149" t="s">
        <v>272</v>
      </c>
      <c r="C149" t="str">
        <f>dummys!B149</f>
        <v>Sal</v>
      </c>
      <c r="D149" t="b">
        <f t="shared" si="2"/>
        <v>1</v>
      </c>
    </row>
    <row r="150" spans="1:4" x14ac:dyDescent="0.25">
      <c r="A150">
        <v>1192</v>
      </c>
      <c r="B150" t="s">
        <v>274</v>
      </c>
      <c r="C150" t="str">
        <f>dummys!B150</f>
        <v>Condimentos, especies y aderezos</v>
      </c>
      <c r="D150" t="b">
        <f t="shared" si="2"/>
        <v>1</v>
      </c>
    </row>
    <row r="151" spans="1:4" x14ac:dyDescent="0.25">
      <c r="A151">
        <v>119201</v>
      </c>
      <c r="B151" t="s">
        <v>275</v>
      </c>
      <c r="C151" t="str">
        <f>dummys!B151</f>
        <v>Pasta de tomate</v>
      </c>
      <c r="D151" t="b">
        <f t="shared" si="2"/>
        <v>1</v>
      </c>
    </row>
    <row r="152" spans="1:4" x14ac:dyDescent="0.25">
      <c r="A152">
        <v>119202</v>
      </c>
      <c r="B152" t="s">
        <v>277</v>
      </c>
      <c r="C152" t="str">
        <f>dummys!B152</f>
        <v>Verduras</v>
      </c>
      <c r="D152" t="b">
        <f t="shared" si="2"/>
        <v>1</v>
      </c>
    </row>
    <row r="153" spans="1:4" x14ac:dyDescent="0.25">
      <c r="A153">
        <v>119203</v>
      </c>
      <c r="B153" t="s">
        <v>279</v>
      </c>
      <c r="C153" t="str">
        <f>dummys!B153</f>
        <v>Sazón en polvo</v>
      </c>
      <c r="D153" t="b">
        <f t="shared" si="2"/>
        <v>1</v>
      </c>
    </row>
    <row r="154" spans="1:4" x14ac:dyDescent="0.25">
      <c r="A154">
        <v>119204</v>
      </c>
      <c r="B154" t="s">
        <v>281</v>
      </c>
      <c r="C154" t="str">
        <f>dummys!B154</f>
        <v>Sazón líquido</v>
      </c>
      <c r="D154" t="b">
        <f t="shared" si="2"/>
        <v>1</v>
      </c>
    </row>
    <row r="155" spans="1:4" x14ac:dyDescent="0.25">
      <c r="A155">
        <v>119205</v>
      </c>
      <c r="B155" t="s">
        <v>283</v>
      </c>
      <c r="C155" t="str">
        <f>dummys!B155</f>
        <v>Mayonesa</v>
      </c>
      <c r="D155" t="b">
        <f t="shared" si="2"/>
        <v>1</v>
      </c>
    </row>
    <row r="156" spans="1:4" x14ac:dyDescent="0.25">
      <c r="A156">
        <v>119206</v>
      </c>
      <c r="B156" t="s">
        <v>285</v>
      </c>
      <c r="C156" t="str">
        <f>dummys!B156</f>
        <v>Vinagre</v>
      </c>
      <c r="D156" t="b">
        <f t="shared" si="2"/>
        <v>1</v>
      </c>
    </row>
    <row r="157" spans="1:4" x14ac:dyDescent="0.25">
      <c r="A157">
        <v>119207</v>
      </c>
      <c r="B157" t="s">
        <v>287</v>
      </c>
      <c r="C157" t="str">
        <f>dummys!B157</f>
        <v>Canela</v>
      </c>
      <c r="D157" t="b">
        <f t="shared" si="2"/>
        <v>1</v>
      </c>
    </row>
    <row r="158" spans="1:4" x14ac:dyDescent="0.25">
      <c r="A158">
        <v>119208</v>
      </c>
      <c r="B158" t="s">
        <v>289</v>
      </c>
      <c r="C158" t="str">
        <f>dummys!B158</f>
        <v>Orégano</v>
      </c>
      <c r="D158" t="b">
        <f t="shared" si="2"/>
        <v>1</v>
      </c>
    </row>
    <row r="159" spans="1:4" x14ac:dyDescent="0.25">
      <c r="A159">
        <v>119209</v>
      </c>
      <c r="B159" t="s">
        <v>291</v>
      </c>
      <c r="C159" t="str">
        <f>dummys!B159</f>
        <v>Catchup</v>
      </c>
      <c r="D159" t="b">
        <f t="shared" si="2"/>
        <v>1</v>
      </c>
    </row>
    <row r="160" spans="1:4" x14ac:dyDescent="0.25">
      <c r="A160">
        <v>1193</v>
      </c>
      <c r="B160" t="s">
        <v>271</v>
      </c>
      <c r="C160" t="str">
        <f>dummys!B160</f>
        <v>Otros productos alimenticios</v>
      </c>
      <c r="D160" t="b">
        <f t="shared" si="2"/>
        <v>1</v>
      </c>
    </row>
    <row r="161" spans="1:4" x14ac:dyDescent="0.25">
      <c r="A161">
        <v>119301</v>
      </c>
      <c r="B161" t="s">
        <v>293</v>
      </c>
      <c r="C161" t="str">
        <f>dummys!B161</f>
        <v>Caldo de pollo</v>
      </c>
      <c r="D161" t="b">
        <f t="shared" si="2"/>
        <v>1</v>
      </c>
    </row>
    <row r="162" spans="1:4" x14ac:dyDescent="0.25">
      <c r="A162">
        <v>119302</v>
      </c>
      <c r="B162" t="s">
        <v>295</v>
      </c>
      <c r="C162" t="str">
        <f>dummys!B162</f>
        <v>Compota</v>
      </c>
      <c r="D162" t="b">
        <f t="shared" si="2"/>
        <v>1</v>
      </c>
    </row>
    <row r="163" spans="1:4" x14ac:dyDescent="0.25">
      <c r="A163">
        <v>119303</v>
      </c>
      <c r="B163" t="s">
        <v>297</v>
      </c>
      <c r="C163" t="str">
        <f>dummys!B163</f>
        <v>Sopa instantánea (sopa china)</v>
      </c>
      <c r="D163" t="b">
        <f t="shared" si="2"/>
        <v>1</v>
      </c>
    </row>
    <row r="164" spans="1:4" x14ac:dyDescent="0.25">
      <c r="A164">
        <v>12</v>
      </c>
      <c r="B164" t="s">
        <v>299</v>
      </c>
      <c r="C164" t="str">
        <f>dummys!B164</f>
        <v>Bebidas No Alcohólicas</v>
      </c>
      <c r="D164" t="b">
        <f t="shared" si="2"/>
        <v>1</v>
      </c>
    </row>
    <row r="165" spans="1:4" x14ac:dyDescent="0.25">
      <c r="A165">
        <v>121</v>
      </c>
      <c r="B165" t="s">
        <v>300</v>
      </c>
      <c r="C165" t="str">
        <f>dummys!B165</f>
        <v>Café y cacao</v>
      </c>
      <c r="D165" t="b">
        <f t="shared" si="2"/>
        <v>1</v>
      </c>
    </row>
    <row r="166" spans="1:4" x14ac:dyDescent="0.25">
      <c r="A166">
        <v>1211</v>
      </c>
      <c r="B166" t="s">
        <v>301</v>
      </c>
      <c r="C166" t="str">
        <f>dummys!B166</f>
        <v>Café</v>
      </c>
      <c r="D166" t="b">
        <f t="shared" si="2"/>
        <v>1</v>
      </c>
    </row>
    <row r="167" spans="1:4" x14ac:dyDescent="0.25">
      <c r="A167">
        <v>121101</v>
      </c>
      <c r="B167" t="s">
        <v>301</v>
      </c>
      <c r="C167" t="str">
        <f>dummys!B167</f>
        <v>Café</v>
      </c>
      <c r="D167" t="b">
        <f t="shared" si="2"/>
        <v>1</v>
      </c>
    </row>
    <row r="168" spans="1:4" x14ac:dyDescent="0.25">
      <c r="A168">
        <v>1212</v>
      </c>
      <c r="B168" t="s">
        <v>303</v>
      </c>
      <c r="C168" t="str">
        <f>dummys!B168</f>
        <v>Chocolates para bebidas</v>
      </c>
      <c r="D168" t="b">
        <f t="shared" si="2"/>
        <v>1</v>
      </c>
    </row>
    <row r="169" spans="1:4" x14ac:dyDescent="0.25">
      <c r="A169">
        <v>121201</v>
      </c>
      <c r="B169" t="s">
        <v>304</v>
      </c>
      <c r="C169" t="str">
        <f>dummys!B169</f>
        <v>Chocolate en barra</v>
      </c>
      <c r="D169" t="b">
        <f t="shared" si="2"/>
        <v>1</v>
      </c>
    </row>
    <row r="170" spans="1:4" x14ac:dyDescent="0.25">
      <c r="A170">
        <v>121202</v>
      </c>
      <c r="B170" t="s">
        <v>306</v>
      </c>
      <c r="C170" t="str">
        <f>dummys!B170</f>
        <v>Chocolate en polvo</v>
      </c>
      <c r="D170" t="b">
        <f t="shared" si="2"/>
        <v>1</v>
      </c>
    </row>
    <row r="171" spans="1:4" x14ac:dyDescent="0.25">
      <c r="A171">
        <v>122</v>
      </c>
      <c r="B171" t="s">
        <v>308</v>
      </c>
      <c r="C171" t="str">
        <f>dummys!B171</f>
        <v>Aguas minerales, refrescos y jugos de frutas</v>
      </c>
      <c r="D171" t="b">
        <f t="shared" si="2"/>
        <v>1</v>
      </c>
    </row>
    <row r="172" spans="1:4" x14ac:dyDescent="0.25">
      <c r="A172">
        <v>1221</v>
      </c>
      <c r="B172" t="s">
        <v>309</v>
      </c>
      <c r="C172" t="str">
        <f>dummys!B172</f>
        <v>Refrescos</v>
      </c>
      <c r="D172" t="b">
        <f t="shared" si="2"/>
        <v>1</v>
      </c>
    </row>
    <row r="173" spans="1:4" x14ac:dyDescent="0.25">
      <c r="A173">
        <v>122101</v>
      </c>
      <c r="B173" t="s">
        <v>309</v>
      </c>
      <c r="C173" t="str">
        <f>dummys!B173</f>
        <v>Refrescos</v>
      </c>
      <c r="D173" t="b">
        <f t="shared" si="2"/>
        <v>1</v>
      </c>
    </row>
    <row r="174" spans="1:4" x14ac:dyDescent="0.25">
      <c r="A174">
        <v>122103</v>
      </c>
      <c r="B174" t="s">
        <v>311</v>
      </c>
      <c r="C174" t="str">
        <f>dummys!B174</f>
        <v>Bebidas hidratantes</v>
      </c>
      <c r="D174" t="b">
        <f t="shared" si="2"/>
        <v>1</v>
      </c>
    </row>
    <row r="175" spans="1:4" x14ac:dyDescent="0.25">
      <c r="A175">
        <v>1222</v>
      </c>
      <c r="B175" t="s">
        <v>313</v>
      </c>
      <c r="C175" t="str">
        <f>dummys!B175</f>
        <v>Jugos y aguas minerales</v>
      </c>
      <c r="D175" t="b">
        <f t="shared" si="2"/>
        <v>1</v>
      </c>
    </row>
    <row r="176" spans="1:4" x14ac:dyDescent="0.25">
      <c r="A176">
        <v>122201</v>
      </c>
      <c r="B176" t="s">
        <v>314</v>
      </c>
      <c r="C176" t="str">
        <f>dummys!B176</f>
        <v>Agua purificada</v>
      </c>
      <c r="D176" t="b">
        <f t="shared" si="2"/>
        <v>1</v>
      </c>
    </row>
    <row r="177" spans="1:4" x14ac:dyDescent="0.25">
      <c r="A177">
        <v>122202</v>
      </c>
      <c r="B177" t="s">
        <v>316</v>
      </c>
      <c r="C177" t="str">
        <f>dummys!B177</f>
        <v>Jugos envasados</v>
      </c>
      <c r="D177" t="b">
        <f t="shared" si="2"/>
        <v>1</v>
      </c>
    </row>
    <row r="178" spans="1:4" x14ac:dyDescent="0.25">
      <c r="A178">
        <v>122203</v>
      </c>
      <c r="B178" t="s">
        <v>318</v>
      </c>
      <c r="C178" t="str">
        <f>dummys!B178</f>
        <v>Jugos en polvo</v>
      </c>
      <c r="D178" t="b">
        <f t="shared" si="2"/>
        <v>1</v>
      </c>
    </row>
    <row r="179" spans="1:4" x14ac:dyDescent="0.25">
      <c r="A179">
        <v>122204</v>
      </c>
      <c r="B179" t="s">
        <v>320</v>
      </c>
      <c r="C179" t="str">
        <f>dummys!B179</f>
        <v>Jugo de naranja pasteurizado</v>
      </c>
      <c r="D179" t="b">
        <f t="shared" si="2"/>
        <v>1</v>
      </c>
    </row>
    <row r="180" spans="1:4" x14ac:dyDescent="0.25">
      <c r="A180">
        <v>2</v>
      </c>
      <c r="B180" t="s">
        <v>322</v>
      </c>
      <c r="C180" t="str">
        <f>dummys!B180</f>
        <v>Bebidas Alcohólicas y Tabaco</v>
      </c>
      <c r="D180" t="b">
        <f t="shared" si="2"/>
        <v>1</v>
      </c>
    </row>
    <row r="181" spans="1:4" x14ac:dyDescent="0.25">
      <c r="A181">
        <v>21</v>
      </c>
      <c r="B181" t="s">
        <v>323</v>
      </c>
      <c r="C181" t="str">
        <f>dummys!B181</f>
        <v>Bebidas Alcohólicas</v>
      </c>
      <c r="D181" t="b">
        <f t="shared" si="2"/>
        <v>1</v>
      </c>
    </row>
    <row r="182" spans="1:4" x14ac:dyDescent="0.25">
      <c r="A182">
        <v>211</v>
      </c>
      <c r="B182" t="s">
        <v>324</v>
      </c>
      <c r="C182" t="str">
        <f>dummys!B182</f>
        <v>Bebidas destiladas</v>
      </c>
      <c r="D182" t="b">
        <f t="shared" si="2"/>
        <v>1</v>
      </c>
    </row>
    <row r="183" spans="1:4" x14ac:dyDescent="0.25">
      <c r="A183">
        <v>2111</v>
      </c>
      <c r="B183" t="s">
        <v>324</v>
      </c>
      <c r="C183" t="str">
        <f>dummys!B183</f>
        <v>Bebidas destiladas</v>
      </c>
      <c r="D183" t="b">
        <f t="shared" si="2"/>
        <v>1</v>
      </c>
    </row>
    <row r="184" spans="1:4" x14ac:dyDescent="0.25">
      <c r="A184">
        <v>211101</v>
      </c>
      <c r="B184" t="s">
        <v>325</v>
      </c>
      <c r="C184" t="str">
        <f>dummys!B184</f>
        <v>Whisky</v>
      </c>
      <c r="D184" t="b">
        <f t="shared" si="2"/>
        <v>1</v>
      </c>
    </row>
    <row r="185" spans="1:4" x14ac:dyDescent="0.25">
      <c r="A185">
        <v>211102</v>
      </c>
      <c r="B185" t="s">
        <v>327</v>
      </c>
      <c r="C185" t="str">
        <f>dummys!B185</f>
        <v>Ron añejo</v>
      </c>
      <c r="D185" t="b">
        <f t="shared" si="2"/>
        <v>1</v>
      </c>
    </row>
    <row r="186" spans="1:4" x14ac:dyDescent="0.25">
      <c r="A186">
        <v>211103</v>
      </c>
      <c r="B186" t="s">
        <v>329</v>
      </c>
      <c r="C186" t="str">
        <f>dummys!B186</f>
        <v>Ron blanco</v>
      </c>
      <c r="D186" t="b">
        <f t="shared" si="2"/>
        <v>1</v>
      </c>
    </row>
    <row r="187" spans="1:4" x14ac:dyDescent="0.25">
      <c r="A187">
        <v>211104</v>
      </c>
      <c r="B187" t="s">
        <v>331</v>
      </c>
      <c r="C187" t="str">
        <f>dummys!B187</f>
        <v>Ron dorado</v>
      </c>
      <c r="D187" t="b">
        <f t="shared" si="2"/>
        <v>1</v>
      </c>
    </row>
    <row r="188" spans="1:4" x14ac:dyDescent="0.25">
      <c r="A188">
        <v>212</v>
      </c>
      <c r="B188" t="s">
        <v>333</v>
      </c>
      <c r="C188" t="str">
        <f>dummys!B188</f>
        <v>Vino</v>
      </c>
      <c r="D188" t="b">
        <f t="shared" si="2"/>
        <v>1</v>
      </c>
    </row>
    <row r="189" spans="1:4" x14ac:dyDescent="0.25">
      <c r="A189">
        <v>2121</v>
      </c>
      <c r="B189" t="s">
        <v>334</v>
      </c>
      <c r="C189" t="str">
        <f>dummys!B189</f>
        <v>Vinos</v>
      </c>
      <c r="D189" t="b">
        <f t="shared" si="2"/>
        <v>1</v>
      </c>
    </row>
    <row r="190" spans="1:4" x14ac:dyDescent="0.25">
      <c r="A190">
        <v>212101</v>
      </c>
      <c r="B190" t="s">
        <v>333</v>
      </c>
      <c r="C190" t="str">
        <f>dummys!B190</f>
        <v>Vino</v>
      </c>
      <c r="D190" t="b">
        <f t="shared" si="2"/>
        <v>1</v>
      </c>
    </row>
    <row r="191" spans="1:4" x14ac:dyDescent="0.25">
      <c r="A191">
        <v>213</v>
      </c>
      <c r="B191" t="s">
        <v>336</v>
      </c>
      <c r="C191" t="str">
        <f>dummys!B191</f>
        <v>Cerveza</v>
      </c>
      <c r="D191" t="b">
        <f t="shared" si="2"/>
        <v>1</v>
      </c>
    </row>
    <row r="192" spans="1:4" x14ac:dyDescent="0.25">
      <c r="A192">
        <v>2131</v>
      </c>
      <c r="B192" t="s">
        <v>336</v>
      </c>
      <c r="C192" t="str">
        <f>dummys!B192</f>
        <v>Cerveza</v>
      </c>
      <c r="D192" t="b">
        <f t="shared" si="2"/>
        <v>1</v>
      </c>
    </row>
    <row r="193" spans="1:4" x14ac:dyDescent="0.25">
      <c r="A193">
        <v>213101</v>
      </c>
      <c r="B193" t="s">
        <v>337</v>
      </c>
      <c r="C193" t="str">
        <f>dummys!B193</f>
        <v>Cerveza envasada</v>
      </c>
      <c r="D193" t="b">
        <f t="shared" si="2"/>
        <v>1</v>
      </c>
    </row>
    <row r="194" spans="1:4" x14ac:dyDescent="0.25">
      <c r="A194">
        <v>213102</v>
      </c>
      <c r="B194" t="s">
        <v>339</v>
      </c>
      <c r="C194" t="str">
        <f>dummys!B194</f>
        <v>Malta</v>
      </c>
      <c r="D194" t="b">
        <f t="shared" si="2"/>
        <v>1</v>
      </c>
    </row>
    <row r="195" spans="1:4" x14ac:dyDescent="0.25">
      <c r="A195">
        <v>22</v>
      </c>
      <c r="B195" t="s">
        <v>341</v>
      </c>
      <c r="C195" t="str">
        <f>dummys!B195</f>
        <v>Tabaco</v>
      </c>
      <c r="D195" t="b">
        <f t="shared" ref="D195:D258" si="3">C195=B195</f>
        <v>1</v>
      </c>
    </row>
    <row r="196" spans="1:4" x14ac:dyDescent="0.25">
      <c r="A196">
        <v>221</v>
      </c>
      <c r="B196" t="s">
        <v>341</v>
      </c>
      <c r="C196" t="str">
        <f>dummys!B196</f>
        <v>Tabaco</v>
      </c>
      <c r="D196" t="b">
        <f t="shared" si="3"/>
        <v>1</v>
      </c>
    </row>
    <row r="197" spans="1:4" x14ac:dyDescent="0.25">
      <c r="A197">
        <v>2211</v>
      </c>
      <c r="B197" t="s">
        <v>342</v>
      </c>
      <c r="C197" t="str">
        <f>dummys!B197</f>
        <v>Cigarrillos y tabaco</v>
      </c>
      <c r="D197" t="b">
        <f t="shared" si="3"/>
        <v>1</v>
      </c>
    </row>
    <row r="198" spans="1:4" x14ac:dyDescent="0.25">
      <c r="A198">
        <v>221101</v>
      </c>
      <c r="B198" t="s">
        <v>343</v>
      </c>
      <c r="C198" t="str">
        <f>dummys!B198</f>
        <v>Cigarrillos</v>
      </c>
      <c r="D198" t="b">
        <f t="shared" si="3"/>
        <v>1</v>
      </c>
    </row>
    <row r="199" spans="1:4" x14ac:dyDescent="0.25">
      <c r="A199">
        <v>3</v>
      </c>
      <c r="B199" t="s">
        <v>345</v>
      </c>
      <c r="C199" t="str">
        <f>dummys!B199</f>
        <v>Prendas de Vestir y Calzado</v>
      </c>
      <c r="D199" t="b">
        <f t="shared" si="3"/>
        <v>1</v>
      </c>
    </row>
    <row r="200" spans="1:4" x14ac:dyDescent="0.25">
      <c r="A200">
        <v>31</v>
      </c>
      <c r="B200" t="s">
        <v>346</v>
      </c>
      <c r="C200" t="str">
        <f>dummys!B200</f>
        <v>Prendas de Vestir</v>
      </c>
      <c r="D200" t="b">
        <f t="shared" si="3"/>
        <v>1</v>
      </c>
    </row>
    <row r="201" spans="1:4" x14ac:dyDescent="0.25">
      <c r="A201">
        <v>312</v>
      </c>
      <c r="B201" t="s">
        <v>347</v>
      </c>
      <c r="C201" t="str">
        <f>dummys!B201</f>
        <v>Prendas de vestir</v>
      </c>
      <c r="D201" t="b">
        <f t="shared" si="3"/>
        <v>1</v>
      </c>
    </row>
    <row r="202" spans="1:4" x14ac:dyDescent="0.25">
      <c r="A202">
        <v>3121</v>
      </c>
      <c r="B202" t="s">
        <v>348</v>
      </c>
      <c r="C202" t="str">
        <f>dummys!B202</f>
        <v>Prendas de vestir para hombre y niño</v>
      </c>
      <c r="D202" t="b">
        <f t="shared" si="3"/>
        <v>1</v>
      </c>
    </row>
    <row r="203" spans="1:4" x14ac:dyDescent="0.25">
      <c r="A203">
        <v>312101</v>
      </c>
      <c r="B203" t="s">
        <v>349</v>
      </c>
      <c r="C203" t="str">
        <f>dummys!B203</f>
        <v>Pantalón sport de hombre</v>
      </c>
      <c r="D203" t="b">
        <f t="shared" si="3"/>
        <v>1</v>
      </c>
    </row>
    <row r="204" spans="1:4" x14ac:dyDescent="0.25">
      <c r="A204">
        <v>312102</v>
      </c>
      <c r="B204" t="s">
        <v>351</v>
      </c>
      <c r="C204" t="str">
        <f>dummys!B204</f>
        <v>Poloshirt para hombre</v>
      </c>
      <c r="D204" t="b">
        <f t="shared" si="3"/>
        <v>1</v>
      </c>
    </row>
    <row r="205" spans="1:4" x14ac:dyDescent="0.25">
      <c r="A205">
        <v>312103</v>
      </c>
      <c r="B205" t="s">
        <v>353</v>
      </c>
      <c r="C205" t="str">
        <f>dummys!B205</f>
        <v>Camisa de vestir para hombre</v>
      </c>
      <c r="D205" t="b">
        <f t="shared" si="3"/>
        <v>1</v>
      </c>
    </row>
    <row r="206" spans="1:4" x14ac:dyDescent="0.25">
      <c r="A206">
        <v>312105</v>
      </c>
      <c r="B206" t="s">
        <v>355</v>
      </c>
      <c r="C206" t="str">
        <f>dummys!B206</f>
        <v>Pantalón de vestir de hombre</v>
      </c>
      <c r="D206" t="b">
        <f t="shared" si="3"/>
        <v>1</v>
      </c>
    </row>
    <row r="207" spans="1:4" x14ac:dyDescent="0.25">
      <c r="A207">
        <v>312107</v>
      </c>
      <c r="B207" t="s">
        <v>357</v>
      </c>
      <c r="C207" t="str">
        <f>dummys!B207</f>
        <v>Pantaloncillos</v>
      </c>
      <c r="D207" t="b">
        <f t="shared" si="3"/>
        <v>1</v>
      </c>
    </row>
    <row r="208" spans="1:4" x14ac:dyDescent="0.25">
      <c r="A208">
        <v>312110</v>
      </c>
      <c r="B208" t="s">
        <v>359</v>
      </c>
      <c r="C208" t="str">
        <f>dummys!B208</f>
        <v>Camiseta interior para hombre</v>
      </c>
      <c r="D208" t="b">
        <f t="shared" si="3"/>
        <v>1</v>
      </c>
    </row>
    <row r="209" spans="1:4" x14ac:dyDescent="0.25">
      <c r="A209">
        <v>3122</v>
      </c>
      <c r="B209" t="s">
        <v>361</v>
      </c>
      <c r="C209" t="str">
        <f>dummys!B209</f>
        <v>Prendas de vestir para mujer</v>
      </c>
      <c r="D209" t="b">
        <f t="shared" si="3"/>
        <v>1</v>
      </c>
    </row>
    <row r="210" spans="1:4" x14ac:dyDescent="0.25">
      <c r="A210">
        <v>312201</v>
      </c>
      <c r="B210" t="s">
        <v>362</v>
      </c>
      <c r="C210" t="str">
        <f>dummys!B210</f>
        <v>Blusa de vestir para mujer</v>
      </c>
      <c r="D210" t="b">
        <f t="shared" si="3"/>
        <v>1</v>
      </c>
    </row>
    <row r="211" spans="1:4" x14ac:dyDescent="0.25">
      <c r="A211">
        <v>312202</v>
      </c>
      <c r="B211" t="s">
        <v>364</v>
      </c>
      <c r="C211" t="str">
        <f>dummys!B211</f>
        <v>Blusa sport de mujer</v>
      </c>
      <c r="D211" t="b">
        <f t="shared" si="3"/>
        <v>1</v>
      </c>
    </row>
    <row r="212" spans="1:4" x14ac:dyDescent="0.25">
      <c r="A212">
        <v>312203</v>
      </c>
      <c r="B212" t="s">
        <v>366</v>
      </c>
      <c r="C212" t="str">
        <f>dummys!B212</f>
        <v>Pantalón sport de mujer</v>
      </c>
      <c r="D212" t="b">
        <f t="shared" si="3"/>
        <v>1</v>
      </c>
    </row>
    <row r="213" spans="1:4" x14ac:dyDescent="0.25">
      <c r="A213">
        <v>312204</v>
      </c>
      <c r="B213" t="s">
        <v>368</v>
      </c>
      <c r="C213" t="str">
        <f>dummys!B213</f>
        <v>Panties</v>
      </c>
      <c r="D213" t="b">
        <f t="shared" si="3"/>
        <v>1</v>
      </c>
    </row>
    <row r="214" spans="1:4" x14ac:dyDescent="0.25">
      <c r="A214">
        <v>312205</v>
      </c>
      <c r="B214" t="s">
        <v>370</v>
      </c>
      <c r="C214" t="str">
        <f>dummys!B214</f>
        <v>Trajes para mujer</v>
      </c>
      <c r="D214" t="b">
        <f t="shared" si="3"/>
        <v>1</v>
      </c>
    </row>
    <row r="215" spans="1:4" x14ac:dyDescent="0.25">
      <c r="A215">
        <v>312206</v>
      </c>
      <c r="B215" t="s">
        <v>372</v>
      </c>
      <c r="C215" t="str">
        <f>dummys!B215</f>
        <v>Brassiers</v>
      </c>
      <c r="D215" t="b">
        <f t="shared" si="3"/>
        <v>1</v>
      </c>
    </row>
    <row r="216" spans="1:4" x14ac:dyDescent="0.25">
      <c r="A216">
        <v>312207</v>
      </c>
      <c r="B216" t="s">
        <v>374</v>
      </c>
      <c r="C216" t="str">
        <f>dummys!B216</f>
        <v>Pantalón de vestir de mujer</v>
      </c>
      <c r="D216" t="b">
        <f t="shared" si="3"/>
        <v>1</v>
      </c>
    </row>
    <row r="217" spans="1:4" x14ac:dyDescent="0.25">
      <c r="A217">
        <v>312209</v>
      </c>
      <c r="B217" t="s">
        <v>376</v>
      </c>
      <c r="C217" t="str">
        <f>dummys!B217</f>
        <v>Falda para mujer</v>
      </c>
      <c r="D217" t="b">
        <f t="shared" si="3"/>
        <v>1</v>
      </c>
    </row>
    <row r="218" spans="1:4" x14ac:dyDescent="0.25">
      <c r="A218">
        <v>3123</v>
      </c>
      <c r="B218" t="s">
        <v>378</v>
      </c>
      <c r="C218" t="str">
        <f>dummys!B218</f>
        <v>Prendas de vestir de niños y niñas</v>
      </c>
      <c r="D218" t="b">
        <f t="shared" si="3"/>
        <v>1</v>
      </c>
    </row>
    <row r="219" spans="1:4" x14ac:dyDescent="0.25">
      <c r="A219">
        <v>312301</v>
      </c>
      <c r="B219" t="s">
        <v>379</v>
      </c>
      <c r="C219" t="str">
        <f>dummys!B219</f>
        <v>Conjunto para bebé</v>
      </c>
      <c r="D219" t="b">
        <f t="shared" si="3"/>
        <v>1</v>
      </c>
    </row>
    <row r="220" spans="1:4" x14ac:dyDescent="0.25">
      <c r="A220">
        <v>312302</v>
      </c>
      <c r="B220" t="s">
        <v>381</v>
      </c>
      <c r="C220" t="str">
        <f>dummys!B220</f>
        <v>Pantalón de jeans para niños</v>
      </c>
      <c r="D220" t="b">
        <f t="shared" si="3"/>
        <v>1</v>
      </c>
    </row>
    <row r="221" spans="1:4" x14ac:dyDescent="0.25">
      <c r="A221">
        <v>312303</v>
      </c>
      <c r="B221" t="s">
        <v>383</v>
      </c>
      <c r="C221" t="str">
        <f>dummys!B221</f>
        <v>T-shirt para niño</v>
      </c>
      <c r="D221" t="b">
        <f t="shared" si="3"/>
        <v>1</v>
      </c>
    </row>
    <row r="222" spans="1:4" x14ac:dyDescent="0.25">
      <c r="A222">
        <v>312304</v>
      </c>
      <c r="B222" t="s">
        <v>385</v>
      </c>
      <c r="C222" t="str">
        <f>dummys!B222</f>
        <v>Conjunto para niña</v>
      </c>
      <c r="D222" t="b">
        <f t="shared" si="3"/>
        <v>1</v>
      </c>
    </row>
    <row r="223" spans="1:4" x14ac:dyDescent="0.25">
      <c r="A223">
        <v>312305</v>
      </c>
      <c r="B223" t="s">
        <v>387</v>
      </c>
      <c r="C223" t="str">
        <f>dummys!B223</f>
        <v>Uniforme escolar</v>
      </c>
      <c r="D223" t="b">
        <f t="shared" si="3"/>
        <v>1</v>
      </c>
    </row>
    <row r="224" spans="1:4" x14ac:dyDescent="0.25">
      <c r="A224">
        <v>312306</v>
      </c>
      <c r="B224" t="s">
        <v>389</v>
      </c>
      <c r="C224" t="str">
        <f>dummys!B224</f>
        <v>T-shirt para niña</v>
      </c>
      <c r="D224" t="b">
        <f t="shared" si="3"/>
        <v>1</v>
      </c>
    </row>
    <row r="225" spans="1:4" x14ac:dyDescent="0.25">
      <c r="A225">
        <v>313</v>
      </c>
      <c r="B225" t="s">
        <v>391</v>
      </c>
      <c r="C225" t="str">
        <f>dummys!B225</f>
        <v>Otros artículos y  accesorios de vestir</v>
      </c>
      <c r="D225" t="b">
        <f t="shared" si="3"/>
        <v>1</v>
      </c>
    </row>
    <row r="226" spans="1:4" x14ac:dyDescent="0.25">
      <c r="A226">
        <v>3131</v>
      </c>
      <c r="B226" t="s">
        <v>392</v>
      </c>
      <c r="C226" t="str">
        <f>dummys!B226</f>
        <v>Accesorios de vestir</v>
      </c>
      <c r="D226" t="b">
        <f t="shared" si="3"/>
        <v>1</v>
      </c>
    </row>
    <row r="227" spans="1:4" x14ac:dyDescent="0.25">
      <c r="A227">
        <v>313101</v>
      </c>
      <c r="B227" t="s">
        <v>393</v>
      </c>
      <c r="C227" t="str">
        <f>dummys!B227</f>
        <v>Correa de cuero</v>
      </c>
      <c r="D227" t="b">
        <f t="shared" si="3"/>
        <v>1</v>
      </c>
    </row>
    <row r="228" spans="1:4" x14ac:dyDescent="0.25">
      <c r="A228">
        <v>313102</v>
      </c>
      <c r="B228" t="s">
        <v>395</v>
      </c>
      <c r="C228" t="str">
        <f>dummys!B228</f>
        <v>Gorra deportiva para hombre</v>
      </c>
      <c r="D228" t="b">
        <f t="shared" si="3"/>
        <v>1</v>
      </c>
    </row>
    <row r="229" spans="1:4" x14ac:dyDescent="0.25">
      <c r="A229">
        <v>314</v>
      </c>
      <c r="B229" t="s">
        <v>397</v>
      </c>
      <c r="C229" t="str">
        <f>dummys!B229</f>
        <v>Limpieza, reparación y alquiler de prendas de vestir</v>
      </c>
      <c r="D229" t="b">
        <f t="shared" si="3"/>
        <v>1</v>
      </c>
    </row>
    <row r="230" spans="1:4" x14ac:dyDescent="0.25">
      <c r="A230">
        <v>3141</v>
      </c>
      <c r="B230" t="s">
        <v>398</v>
      </c>
      <c r="C230" t="str">
        <f>dummys!B230</f>
        <v>Confección y reparación de ropa</v>
      </c>
      <c r="D230" t="b">
        <f t="shared" si="3"/>
        <v>1</v>
      </c>
    </row>
    <row r="231" spans="1:4" x14ac:dyDescent="0.25">
      <c r="A231">
        <v>314102</v>
      </c>
      <c r="B231" t="s">
        <v>399</v>
      </c>
      <c r="C231" t="str">
        <f>dummys!B231</f>
        <v>Limpieza de ropa en lavandería</v>
      </c>
      <c r="D231" t="b">
        <f t="shared" si="3"/>
        <v>1</v>
      </c>
    </row>
    <row r="232" spans="1:4" x14ac:dyDescent="0.25">
      <c r="A232">
        <v>32</v>
      </c>
      <c r="B232" t="s">
        <v>401</v>
      </c>
      <c r="C232" t="str">
        <f>dummys!B232</f>
        <v>Calzado</v>
      </c>
      <c r="D232" t="b">
        <f t="shared" si="3"/>
        <v>1</v>
      </c>
    </row>
    <row r="233" spans="1:4" x14ac:dyDescent="0.25">
      <c r="A233">
        <v>321</v>
      </c>
      <c r="B233" t="s">
        <v>402</v>
      </c>
      <c r="C233" t="str">
        <f>dummys!B233</f>
        <v>Zapatos y otros calzados</v>
      </c>
      <c r="D233" t="b">
        <f t="shared" si="3"/>
        <v>1</v>
      </c>
    </row>
    <row r="234" spans="1:4" x14ac:dyDescent="0.25">
      <c r="A234">
        <v>3211</v>
      </c>
      <c r="B234" t="s">
        <v>403</v>
      </c>
      <c r="C234" t="str">
        <f>dummys!B234</f>
        <v>Zapatos para hombre</v>
      </c>
      <c r="D234" t="b">
        <f t="shared" si="3"/>
        <v>1</v>
      </c>
    </row>
    <row r="235" spans="1:4" x14ac:dyDescent="0.25">
      <c r="A235">
        <v>321101</v>
      </c>
      <c r="B235" t="s">
        <v>404</v>
      </c>
      <c r="C235" t="str">
        <f>dummys!B235</f>
        <v>Tenis para hombres</v>
      </c>
      <c r="D235" t="b">
        <f t="shared" si="3"/>
        <v>1</v>
      </c>
    </row>
    <row r="236" spans="1:4" x14ac:dyDescent="0.25">
      <c r="A236">
        <v>321102</v>
      </c>
      <c r="B236" t="s">
        <v>403</v>
      </c>
      <c r="C236" t="str">
        <f>dummys!B236</f>
        <v>Zapatos para hombre</v>
      </c>
      <c r="D236" t="b">
        <f t="shared" si="3"/>
        <v>1</v>
      </c>
    </row>
    <row r="237" spans="1:4" x14ac:dyDescent="0.25">
      <c r="A237">
        <v>321104</v>
      </c>
      <c r="B237" t="s">
        <v>407</v>
      </c>
      <c r="C237" t="str">
        <f>dummys!B237</f>
        <v>Chancleta o calipso para hombre</v>
      </c>
      <c r="D237" t="b">
        <f t="shared" si="3"/>
        <v>1</v>
      </c>
    </row>
    <row r="238" spans="1:4" x14ac:dyDescent="0.25">
      <c r="A238">
        <v>3212</v>
      </c>
      <c r="B238" t="s">
        <v>409</v>
      </c>
      <c r="C238" t="str">
        <f>dummys!B238</f>
        <v>Zapatos para mujer</v>
      </c>
      <c r="D238" t="b">
        <f t="shared" si="3"/>
        <v>1</v>
      </c>
    </row>
    <row r="239" spans="1:4" x14ac:dyDescent="0.25">
      <c r="A239">
        <v>321201</v>
      </c>
      <c r="B239" t="s">
        <v>410</v>
      </c>
      <c r="C239" t="str">
        <f>dummys!B239</f>
        <v>Zapatillas para mujer</v>
      </c>
      <c r="D239" t="b">
        <f t="shared" si="3"/>
        <v>1</v>
      </c>
    </row>
    <row r="240" spans="1:4" x14ac:dyDescent="0.25">
      <c r="A240">
        <v>321202</v>
      </c>
      <c r="B240" t="s">
        <v>409</v>
      </c>
      <c r="C240" t="str">
        <f>dummys!B240</f>
        <v>Zapatos para mujer</v>
      </c>
      <c r="D240" t="b">
        <f t="shared" si="3"/>
        <v>1</v>
      </c>
    </row>
    <row r="241" spans="1:4" x14ac:dyDescent="0.25">
      <c r="A241">
        <v>321203</v>
      </c>
      <c r="B241" t="s">
        <v>413</v>
      </c>
      <c r="C241" t="str">
        <f>dummys!B241</f>
        <v>Tenis para mujer</v>
      </c>
      <c r="D241" t="b">
        <f t="shared" si="3"/>
        <v>1</v>
      </c>
    </row>
    <row r="242" spans="1:4" x14ac:dyDescent="0.25">
      <c r="A242">
        <v>321205</v>
      </c>
      <c r="B242" t="s">
        <v>415</v>
      </c>
      <c r="C242" t="str">
        <f>dummys!B242</f>
        <v>Chancleta o calipso para mujer</v>
      </c>
      <c r="D242" t="b">
        <f t="shared" si="3"/>
        <v>1</v>
      </c>
    </row>
    <row r="243" spans="1:4" x14ac:dyDescent="0.25">
      <c r="A243">
        <v>3214</v>
      </c>
      <c r="B243" t="s">
        <v>417</v>
      </c>
      <c r="C243" t="str">
        <f>dummys!B243</f>
        <v>Zapatos para niños y niñas</v>
      </c>
      <c r="D243" t="b">
        <f t="shared" si="3"/>
        <v>1</v>
      </c>
    </row>
    <row r="244" spans="1:4" x14ac:dyDescent="0.25">
      <c r="A244">
        <v>321401</v>
      </c>
      <c r="B244" t="s">
        <v>418</v>
      </c>
      <c r="C244" t="str">
        <f>dummys!B244</f>
        <v>Tenis para niños</v>
      </c>
      <c r="D244" t="b">
        <f t="shared" si="3"/>
        <v>1</v>
      </c>
    </row>
    <row r="245" spans="1:4" x14ac:dyDescent="0.25">
      <c r="A245">
        <v>321402</v>
      </c>
      <c r="B245" t="s">
        <v>420</v>
      </c>
      <c r="C245" t="str">
        <f>dummys!B245</f>
        <v>Zapatos para niños</v>
      </c>
      <c r="D245" t="b">
        <f t="shared" si="3"/>
        <v>1</v>
      </c>
    </row>
    <row r="246" spans="1:4" x14ac:dyDescent="0.25">
      <c r="A246">
        <v>4</v>
      </c>
      <c r="B246" t="s">
        <v>16</v>
      </c>
      <c r="C246" t="str">
        <f>dummys!B246</f>
        <v>Vivienda</v>
      </c>
      <c r="D246" t="b">
        <f t="shared" si="3"/>
        <v>1</v>
      </c>
    </row>
    <row r="247" spans="1:4" x14ac:dyDescent="0.25">
      <c r="A247">
        <v>41</v>
      </c>
      <c r="B247" t="s">
        <v>422</v>
      </c>
      <c r="C247" t="str">
        <f>dummys!B247</f>
        <v>Alquileres Efectivos de Alojamiento</v>
      </c>
      <c r="D247" t="b">
        <f t="shared" si="3"/>
        <v>1</v>
      </c>
    </row>
    <row r="248" spans="1:4" x14ac:dyDescent="0.25">
      <c r="A248">
        <v>411</v>
      </c>
      <c r="B248" t="s">
        <v>423</v>
      </c>
      <c r="C248" t="str">
        <f>dummys!B248</f>
        <v>Alquileres efectivos</v>
      </c>
      <c r="D248" t="b">
        <f t="shared" si="3"/>
        <v>1</v>
      </c>
    </row>
    <row r="249" spans="1:4" x14ac:dyDescent="0.25">
      <c r="A249">
        <v>4111</v>
      </c>
      <c r="B249" t="s">
        <v>424</v>
      </c>
      <c r="C249" t="str">
        <f>dummys!B249</f>
        <v>Alquiler de la vivienda</v>
      </c>
      <c r="D249" t="b">
        <f t="shared" si="3"/>
        <v>1</v>
      </c>
    </row>
    <row r="250" spans="1:4" x14ac:dyDescent="0.25">
      <c r="A250">
        <v>411101</v>
      </c>
      <c r="B250" t="s">
        <v>425</v>
      </c>
      <c r="C250" t="str">
        <f>dummys!B250</f>
        <v>Alquiler de vivienda</v>
      </c>
      <c r="D250" t="b">
        <f t="shared" si="3"/>
        <v>1</v>
      </c>
    </row>
    <row r="251" spans="1:4" x14ac:dyDescent="0.25">
      <c r="A251">
        <v>43</v>
      </c>
      <c r="B251" t="s">
        <v>427</v>
      </c>
      <c r="C251" t="str">
        <f>dummys!B251</f>
        <v>Conservación y Reparación de la Vivienda</v>
      </c>
      <c r="D251" t="b">
        <f t="shared" si="3"/>
        <v>1</v>
      </c>
    </row>
    <row r="252" spans="1:4" x14ac:dyDescent="0.25">
      <c r="A252">
        <v>431</v>
      </c>
      <c r="B252" t="s">
        <v>428</v>
      </c>
      <c r="C252" t="str">
        <f>dummys!B252</f>
        <v>Materiales para la conservación y reparación de la vivienda</v>
      </c>
      <c r="D252" t="b">
        <f t="shared" si="3"/>
        <v>1</v>
      </c>
    </row>
    <row r="253" spans="1:4" x14ac:dyDescent="0.25">
      <c r="A253">
        <v>4311</v>
      </c>
      <c r="B253" t="s">
        <v>429</v>
      </c>
      <c r="C253" t="str">
        <f>dummys!B253</f>
        <v>Materiales para la conservación de la vivienda</v>
      </c>
      <c r="D253" t="b">
        <f t="shared" si="3"/>
        <v>1</v>
      </c>
    </row>
    <row r="254" spans="1:4" x14ac:dyDescent="0.25">
      <c r="A254">
        <v>431101</v>
      </c>
      <c r="B254" t="s">
        <v>430</v>
      </c>
      <c r="C254" t="str">
        <f>dummys!B254</f>
        <v>Pinturas</v>
      </c>
      <c r="D254" t="b">
        <f t="shared" si="3"/>
        <v>1</v>
      </c>
    </row>
    <row r="255" spans="1:4" x14ac:dyDescent="0.25">
      <c r="A255">
        <v>432</v>
      </c>
      <c r="B255" t="s">
        <v>432</v>
      </c>
      <c r="C255" t="str">
        <f>dummys!B255</f>
        <v>Servicios para la conservación y la reparación de la vivienda</v>
      </c>
      <c r="D255" t="b">
        <f t="shared" si="3"/>
        <v>1</v>
      </c>
    </row>
    <row r="256" spans="1:4" x14ac:dyDescent="0.25">
      <c r="A256">
        <v>4321</v>
      </c>
      <c r="B256" t="s">
        <v>433</v>
      </c>
      <c r="C256" t="str">
        <f>dummys!B256</f>
        <v>Servicios para la conservación de la vivienda</v>
      </c>
      <c r="D256" t="b">
        <f t="shared" si="3"/>
        <v>1</v>
      </c>
    </row>
    <row r="257" spans="1:4" x14ac:dyDescent="0.25">
      <c r="A257">
        <v>432101</v>
      </c>
      <c r="B257" t="s">
        <v>434</v>
      </c>
      <c r="C257" t="str">
        <f>dummys!B257</f>
        <v>Reparación de puertas</v>
      </c>
      <c r="D257" t="b">
        <f t="shared" si="3"/>
        <v>1</v>
      </c>
    </row>
    <row r="258" spans="1:4" x14ac:dyDescent="0.25">
      <c r="A258">
        <v>432103</v>
      </c>
      <c r="B258" t="s">
        <v>436</v>
      </c>
      <c r="C258" t="str">
        <f>dummys!B258</f>
        <v>Servicios de mantenimiento de la vivienda</v>
      </c>
      <c r="D258" t="b">
        <f t="shared" si="3"/>
        <v>1</v>
      </c>
    </row>
    <row r="259" spans="1:4" x14ac:dyDescent="0.25">
      <c r="A259">
        <v>44</v>
      </c>
      <c r="B259" t="s">
        <v>438</v>
      </c>
      <c r="C259" t="str">
        <f>dummys!B259</f>
        <v>Suministro de Agua y Servicios Relacionados con la Vivienda</v>
      </c>
      <c r="D259" t="b">
        <f t="shared" ref="D259:D322" si="4">C259=B259</f>
        <v>1</v>
      </c>
    </row>
    <row r="260" spans="1:4" x14ac:dyDescent="0.25">
      <c r="A260">
        <v>441</v>
      </c>
      <c r="B260" t="s">
        <v>439</v>
      </c>
      <c r="C260" t="str">
        <f>dummys!B260</f>
        <v>Suministro de agua</v>
      </c>
      <c r="D260" t="b">
        <f t="shared" si="4"/>
        <v>1</v>
      </c>
    </row>
    <row r="261" spans="1:4" x14ac:dyDescent="0.25">
      <c r="A261">
        <v>4411</v>
      </c>
      <c r="B261" t="s">
        <v>439</v>
      </c>
      <c r="C261" t="str">
        <f>dummys!B261</f>
        <v>Suministro de agua</v>
      </c>
      <c r="D261" t="b">
        <f t="shared" si="4"/>
        <v>1</v>
      </c>
    </row>
    <row r="262" spans="1:4" x14ac:dyDescent="0.25">
      <c r="A262">
        <v>441101</v>
      </c>
      <c r="B262" t="s">
        <v>440</v>
      </c>
      <c r="C262" t="str">
        <f>dummys!B262</f>
        <v>Servicio de agua</v>
      </c>
      <c r="D262" t="b">
        <f t="shared" si="4"/>
        <v>1</v>
      </c>
    </row>
    <row r="263" spans="1:4" x14ac:dyDescent="0.25">
      <c r="A263">
        <v>441102</v>
      </c>
      <c r="B263" t="s">
        <v>442</v>
      </c>
      <c r="C263" t="str">
        <f>dummys!B263</f>
        <v>Agua servida por camiones</v>
      </c>
      <c r="D263" t="b">
        <f t="shared" si="4"/>
        <v>1</v>
      </c>
    </row>
    <row r="264" spans="1:4" x14ac:dyDescent="0.25">
      <c r="A264">
        <v>442</v>
      </c>
      <c r="B264" t="s">
        <v>444</v>
      </c>
      <c r="C264" t="str">
        <f>dummys!B264</f>
        <v>Recogida de basura</v>
      </c>
      <c r="D264" t="b">
        <f t="shared" si="4"/>
        <v>1</v>
      </c>
    </row>
    <row r="265" spans="1:4" x14ac:dyDescent="0.25">
      <c r="A265">
        <v>4421</v>
      </c>
      <c r="B265" t="s">
        <v>444</v>
      </c>
      <c r="C265" t="str">
        <f>dummys!B265</f>
        <v>Recogida de basura</v>
      </c>
      <c r="D265" t="b">
        <f t="shared" si="4"/>
        <v>1</v>
      </c>
    </row>
    <row r="266" spans="1:4" x14ac:dyDescent="0.25">
      <c r="A266">
        <v>442101</v>
      </c>
      <c r="B266" t="s">
        <v>445</v>
      </c>
      <c r="C266" t="str">
        <f>dummys!B266</f>
        <v>Servicio de recogida de basura</v>
      </c>
      <c r="D266" t="b">
        <f t="shared" si="4"/>
        <v>1</v>
      </c>
    </row>
    <row r="267" spans="1:4" x14ac:dyDescent="0.25">
      <c r="A267">
        <v>443</v>
      </c>
      <c r="B267" t="s">
        <v>447</v>
      </c>
      <c r="C267" t="str">
        <f>dummys!B267</f>
        <v>Otros servicios relacionados con la vivienda</v>
      </c>
      <c r="D267" t="b">
        <f t="shared" si="4"/>
        <v>1</v>
      </c>
    </row>
    <row r="268" spans="1:4" x14ac:dyDescent="0.25">
      <c r="A268">
        <v>4431</v>
      </c>
      <c r="B268" t="s">
        <v>447</v>
      </c>
      <c r="C268" t="str">
        <f>dummys!B268</f>
        <v>Otros servicios relacionados con la vivienda</v>
      </c>
      <c r="D268" t="b">
        <f t="shared" si="4"/>
        <v>1</v>
      </c>
    </row>
    <row r="269" spans="1:4" x14ac:dyDescent="0.25">
      <c r="A269">
        <v>443101</v>
      </c>
      <c r="B269" t="s">
        <v>448</v>
      </c>
      <c r="C269" t="str">
        <f>dummys!B269</f>
        <v>Gastos comunes en copropiedad</v>
      </c>
      <c r="D269" t="b">
        <f t="shared" si="4"/>
        <v>1</v>
      </c>
    </row>
    <row r="270" spans="1:4" x14ac:dyDescent="0.25">
      <c r="A270">
        <v>45</v>
      </c>
      <c r="B270" t="s">
        <v>450</v>
      </c>
      <c r="C270" t="str">
        <f>dummys!B270</f>
        <v>Electricidad, Gas y Otros Combustibles</v>
      </c>
      <c r="D270" t="b">
        <f t="shared" si="4"/>
        <v>1</v>
      </c>
    </row>
    <row r="271" spans="1:4" x14ac:dyDescent="0.25">
      <c r="A271">
        <v>451</v>
      </c>
      <c r="B271" t="s">
        <v>451</v>
      </c>
      <c r="C271" t="str">
        <f>dummys!B271</f>
        <v>Electricidad</v>
      </c>
      <c r="D271" t="b">
        <f t="shared" si="4"/>
        <v>1</v>
      </c>
    </row>
    <row r="272" spans="1:4" x14ac:dyDescent="0.25">
      <c r="A272">
        <v>4511</v>
      </c>
      <c r="B272" t="s">
        <v>451</v>
      </c>
      <c r="C272" t="str">
        <f>dummys!B272</f>
        <v>Electricidad</v>
      </c>
      <c r="D272" t="b">
        <f t="shared" si="4"/>
        <v>1</v>
      </c>
    </row>
    <row r="273" spans="1:4" x14ac:dyDescent="0.25">
      <c r="A273">
        <v>451101</v>
      </c>
      <c r="B273" t="s">
        <v>452</v>
      </c>
      <c r="C273" t="str">
        <f>dummys!B273</f>
        <v>Servicio de energía eléctrica</v>
      </c>
      <c r="D273" t="b">
        <f t="shared" si="4"/>
        <v>1</v>
      </c>
    </row>
    <row r="274" spans="1:4" x14ac:dyDescent="0.25">
      <c r="A274">
        <v>452</v>
      </c>
      <c r="B274" t="s">
        <v>454</v>
      </c>
      <c r="C274" t="str">
        <f>dummys!B274</f>
        <v>Gas</v>
      </c>
      <c r="D274" t="b">
        <f t="shared" si="4"/>
        <v>1</v>
      </c>
    </row>
    <row r="275" spans="1:4" x14ac:dyDescent="0.25">
      <c r="A275">
        <v>4521</v>
      </c>
      <c r="B275" t="s">
        <v>454</v>
      </c>
      <c r="C275" t="str">
        <f>dummys!B275</f>
        <v>Gas</v>
      </c>
      <c r="D275" t="b">
        <f t="shared" si="4"/>
        <v>1</v>
      </c>
    </row>
    <row r="276" spans="1:4" x14ac:dyDescent="0.25">
      <c r="A276">
        <v>452101</v>
      </c>
      <c r="B276" t="s">
        <v>455</v>
      </c>
      <c r="C276" t="str">
        <f>dummys!B276</f>
        <v>Gas licuado de uso doméstico</v>
      </c>
      <c r="D276" t="b">
        <f t="shared" si="4"/>
        <v>1</v>
      </c>
    </row>
    <row r="277" spans="1:4" x14ac:dyDescent="0.25">
      <c r="A277">
        <v>453</v>
      </c>
      <c r="B277" t="s">
        <v>457</v>
      </c>
      <c r="C277" t="str">
        <f>dummys!B277</f>
        <v>Combustibles líquidos</v>
      </c>
      <c r="D277" t="b">
        <f t="shared" si="4"/>
        <v>1</v>
      </c>
    </row>
    <row r="278" spans="1:4" x14ac:dyDescent="0.25">
      <c r="A278">
        <v>4531</v>
      </c>
      <c r="B278" t="s">
        <v>458</v>
      </c>
      <c r="C278" t="str">
        <f>dummys!B278</f>
        <v>Otros combustibles</v>
      </c>
      <c r="D278" t="b">
        <f t="shared" si="4"/>
        <v>1</v>
      </c>
    </row>
    <row r="279" spans="1:4" x14ac:dyDescent="0.25">
      <c r="A279">
        <v>453101</v>
      </c>
      <c r="B279" t="s">
        <v>459</v>
      </c>
      <c r="C279" t="str">
        <f>dummys!B279</f>
        <v>Gas kerosene</v>
      </c>
      <c r="D279" t="b">
        <f t="shared" si="4"/>
        <v>1</v>
      </c>
    </row>
    <row r="280" spans="1:4" x14ac:dyDescent="0.25">
      <c r="A280">
        <v>453102</v>
      </c>
      <c r="B280" t="s">
        <v>461</v>
      </c>
      <c r="C280" t="str">
        <f>dummys!B280</f>
        <v>Trementina</v>
      </c>
      <c r="D280" t="b">
        <f t="shared" si="4"/>
        <v>1</v>
      </c>
    </row>
    <row r="281" spans="1:4" x14ac:dyDescent="0.25">
      <c r="A281">
        <v>454</v>
      </c>
      <c r="B281" t="s">
        <v>463</v>
      </c>
      <c r="C281" t="str">
        <f>dummys!B281</f>
        <v>Combustibles sólidos</v>
      </c>
      <c r="D281" t="b">
        <f t="shared" si="4"/>
        <v>1</v>
      </c>
    </row>
    <row r="282" spans="1:4" x14ac:dyDescent="0.25">
      <c r="A282">
        <v>4541</v>
      </c>
      <c r="B282" t="s">
        <v>463</v>
      </c>
      <c r="C282" t="str">
        <f>dummys!B282</f>
        <v>Combustibles sólidos</v>
      </c>
      <c r="D282" t="b">
        <f t="shared" si="4"/>
        <v>1</v>
      </c>
    </row>
    <row r="283" spans="1:4" x14ac:dyDescent="0.25">
      <c r="A283">
        <v>454101</v>
      </c>
      <c r="B283" t="s">
        <v>464</v>
      </c>
      <c r="C283" t="str">
        <f>dummys!B283</f>
        <v>Carbón vegetal</v>
      </c>
      <c r="D283" t="b">
        <f t="shared" si="4"/>
        <v>1</v>
      </c>
    </row>
    <row r="284" spans="1:4" x14ac:dyDescent="0.25">
      <c r="A284">
        <v>5</v>
      </c>
      <c r="B284" t="s">
        <v>466</v>
      </c>
      <c r="C284" t="str">
        <f>dummys!B284</f>
        <v>Muebles y Artículos para el Hogar</v>
      </c>
      <c r="D284" t="b">
        <f t="shared" si="4"/>
        <v>1</v>
      </c>
    </row>
    <row r="285" spans="1:4" x14ac:dyDescent="0.25">
      <c r="A285">
        <v>51</v>
      </c>
      <c r="B285" t="s">
        <v>467</v>
      </c>
      <c r="C285" t="str">
        <f>dummys!B285</f>
        <v>Muebles y Accesorios</v>
      </c>
      <c r="D285" t="b">
        <f t="shared" si="4"/>
        <v>1</v>
      </c>
    </row>
    <row r="286" spans="1:4" x14ac:dyDescent="0.25">
      <c r="A286">
        <v>511</v>
      </c>
      <c r="B286" t="s">
        <v>468</v>
      </c>
      <c r="C286" t="str">
        <f>dummys!B286</f>
        <v>Muebles y accesorios</v>
      </c>
      <c r="D286" t="b">
        <f t="shared" si="4"/>
        <v>1</v>
      </c>
    </row>
    <row r="287" spans="1:4" x14ac:dyDescent="0.25">
      <c r="A287">
        <v>5111</v>
      </c>
      <c r="B287" t="s">
        <v>468</v>
      </c>
      <c r="C287" t="str">
        <f>dummys!B287</f>
        <v>Muebles y accesorios</v>
      </c>
      <c r="D287" t="b">
        <f t="shared" si="4"/>
        <v>1</v>
      </c>
    </row>
    <row r="288" spans="1:4" x14ac:dyDescent="0.25">
      <c r="A288">
        <v>511101</v>
      </c>
      <c r="B288" t="s">
        <v>469</v>
      </c>
      <c r="C288" t="str">
        <f>dummys!B288</f>
        <v>Juego de sala</v>
      </c>
      <c r="D288" t="b">
        <f t="shared" si="4"/>
        <v>1</v>
      </c>
    </row>
    <row r="289" spans="1:4" x14ac:dyDescent="0.25">
      <c r="A289">
        <v>511102</v>
      </c>
      <c r="B289" t="s">
        <v>471</v>
      </c>
      <c r="C289" t="str">
        <f>dummys!B289</f>
        <v>Camas</v>
      </c>
      <c r="D289" t="b">
        <f t="shared" si="4"/>
        <v>1</v>
      </c>
    </row>
    <row r="290" spans="1:4" x14ac:dyDescent="0.25">
      <c r="A290">
        <v>511103</v>
      </c>
      <c r="B290" t="s">
        <v>473</v>
      </c>
      <c r="C290" t="str">
        <f>dummys!B290</f>
        <v>Juego de comedor</v>
      </c>
      <c r="D290" t="b">
        <f t="shared" si="4"/>
        <v>1</v>
      </c>
    </row>
    <row r="291" spans="1:4" x14ac:dyDescent="0.25">
      <c r="A291">
        <v>511104</v>
      </c>
      <c r="B291" t="s">
        <v>475</v>
      </c>
      <c r="C291" t="str">
        <f>dummys!B291</f>
        <v>Colchón</v>
      </c>
      <c r="D291" t="b">
        <f t="shared" si="4"/>
        <v>1</v>
      </c>
    </row>
    <row r="292" spans="1:4" x14ac:dyDescent="0.25">
      <c r="A292">
        <v>511105</v>
      </c>
      <c r="B292" t="s">
        <v>477</v>
      </c>
      <c r="C292" t="str">
        <f>dummys!B292</f>
        <v>Cuna</v>
      </c>
      <c r="D292" t="b">
        <f t="shared" si="4"/>
        <v>1</v>
      </c>
    </row>
    <row r="293" spans="1:4" x14ac:dyDescent="0.25">
      <c r="A293">
        <v>513</v>
      </c>
      <c r="B293" t="s">
        <v>479</v>
      </c>
      <c r="C293" t="str">
        <f>dummys!B293</f>
        <v>Reparación de muebles</v>
      </c>
      <c r="D293" t="b">
        <f t="shared" si="4"/>
        <v>1</v>
      </c>
    </row>
    <row r="294" spans="1:4" x14ac:dyDescent="0.25">
      <c r="A294">
        <v>5131</v>
      </c>
      <c r="B294" t="s">
        <v>479</v>
      </c>
      <c r="C294" t="str">
        <f>dummys!B294</f>
        <v>Reparación de muebles</v>
      </c>
      <c r="D294" t="b">
        <f t="shared" si="4"/>
        <v>1</v>
      </c>
    </row>
    <row r="295" spans="1:4" x14ac:dyDescent="0.25">
      <c r="A295">
        <v>513101</v>
      </c>
      <c r="B295" t="s">
        <v>479</v>
      </c>
      <c r="C295" t="str">
        <f>dummys!B295</f>
        <v>Reparación de muebles</v>
      </c>
      <c r="D295" t="b">
        <f t="shared" si="4"/>
        <v>1</v>
      </c>
    </row>
    <row r="296" spans="1:4" x14ac:dyDescent="0.25">
      <c r="A296">
        <v>52</v>
      </c>
      <c r="B296" t="s">
        <v>481</v>
      </c>
      <c r="C296" t="str">
        <f>dummys!B296</f>
        <v>Productos Textiles para el Hogar</v>
      </c>
      <c r="D296" t="b">
        <f t="shared" si="4"/>
        <v>1</v>
      </c>
    </row>
    <row r="297" spans="1:4" x14ac:dyDescent="0.25">
      <c r="A297">
        <v>521</v>
      </c>
      <c r="B297" t="s">
        <v>482</v>
      </c>
      <c r="C297" t="str">
        <f>dummys!B297</f>
        <v>Productos textiles para el hogar</v>
      </c>
      <c r="D297" t="b">
        <f t="shared" si="4"/>
        <v>1</v>
      </c>
    </row>
    <row r="298" spans="1:4" x14ac:dyDescent="0.25">
      <c r="A298">
        <v>5211</v>
      </c>
      <c r="B298" t="s">
        <v>482</v>
      </c>
      <c r="C298" t="str">
        <f>dummys!B298</f>
        <v>Productos textiles para el hogar</v>
      </c>
      <c r="D298" t="b">
        <f t="shared" si="4"/>
        <v>1</v>
      </c>
    </row>
    <row r="299" spans="1:4" x14ac:dyDescent="0.25">
      <c r="A299">
        <v>521101</v>
      </c>
      <c r="B299" t="s">
        <v>483</v>
      </c>
      <c r="C299" t="str">
        <f>dummys!B299</f>
        <v>Sábanas</v>
      </c>
      <c r="D299" t="b">
        <f t="shared" si="4"/>
        <v>1</v>
      </c>
    </row>
    <row r="300" spans="1:4" x14ac:dyDescent="0.25">
      <c r="A300">
        <v>521103</v>
      </c>
      <c r="B300" t="s">
        <v>485</v>
      </c>
      <c r="C300" t="str">
        <f>dummys!B300</f>
        <v>Mosquiteros</v>
      </c>
      <c r="D300" t="b">
        <f t="shared" si="4"/>
        <v>1</v>
      </c>
    </row>
    <row r="301" spans="1:4" x14ac:dyDescent="0.25">
      <c r="A301">
        <v>521104</v>
      </c>
      <c r="B301" t="s">
        <v>487</v>
      </c>
      <c r="C301" t="str">
        <f>dummys!B301</f>
        <v>Toallas</v>
      </c>
      <c r="D301" t="b">
        <f t="shared" si="4"/>
        <v>1</v>
      </c>
    </row>
    <row r="302" spans="1:4" x14ac:dyDescent="0.25">
      <c r="A302">
        <v>521105</v>
      </c>
      <c r="B302" t="s">
        <v>489</v>
      </c>
      <c r="C302" t="str">
        <f>dummys!B302</f>
        <v>Colchas ó cubrecamas</v>
      </c>
      <c r="D302" t="b">
        <f t="shared" si="4"/>
        <v>1</v>
      </c>
    </row>
    <row r="303" spans="1:4" x14ac:dyDescent="0.25">
      <c r="A303">
        <v>521106</v>
      </c>
      <c r="B303" t="s">
        <v>491</v>
      </c>
      <c r="C303" t="str">
        <f>dummys!B303</f>
        <v>Cortinas de tela</v>
      </c>
      <c r="D303" t="b">
        <f t="shared" si="4"/>
        <v>1</v>
      </c>
    </row>
    <row r="304" spans="1:4" x14ac:dyDescent="0.25">
      <c r="A304">
        <v>521107</v>
      </c>
      <c r="B304" t="s">
        <v>493</v>
      </c>
      <c r="C304" t="str">
        <f>dummys!B304</f>
        <v>Almohadas</v>
      </c>
      <c r="D304" t="b">
        <f t="shared" si="4"/>
        <v>1</v>
      </c>
    </row>
    <row r="305" spans="1:4" x14ac:dyDescent="0.25">
      <c r="A305">
        <v>53</v>
      </c>
      <c r="B305" t="s">
        <v>495</v>
      </c>
      <c r="C305" t="str">
        <f>dummys!B305</f>
        <v>Artefactos para el Hogar</v>
      </c>
      <c r="D305" t="b">
        <f t="shared" si="4"/>
        <v>1</v>
      </c>
    </row>
    <row r="306" spans="1:4" x14ac:dyDescent="0.25">
      <c r="A306">
        <v>531</v>
      </c>
      <c r="B306" t="s">
        <v>496</v>
      </c>
      <c r="C306" t="str">
        <f>dummys!B306</f>
        <v>Artefactos para el hogar grandes, eléctricos o no</v>
      </c>
      <c r="D306" t="b">
        <f t="shared" si="4"/>
        <v>1</v>
      </c>
    </row>
    <row r="307" spans="1:4" x14ac:dyDescent="0.25">
      <c r="A307">
        <v>5311</v>
      </c>
      <c r="B307" t="s">
        <v>497</v>
      </c>
      <c r="C307" t="str">
        <f>dummys!B307</f>
        <v>Artefactos grandes para el hogar</v>
      </c>
      <c r="D307" t="b">
        <f t="shared" si="4"/>
        <v>1</v>
      </c>
    </row>
    <row r="308" spans="1:4" x14ac:dyDescent="0.25">
      <c r="A308">
        <v>531101</v>
      </c>
      <c r="B308" t="s">
        <v>498</v>
      </c>
      <c r="C308" t="str">
        <f>dummys!B308</f>
        <v>Nevera</v>
      </c>
      <c r="D308" t="b">
        <f t="shared" si="4"/>
        <v>1</v>
      </c>
    </row>
    <row r="309" spans="1:4" x14ac:dyDescent="0.25">
      <c r="A309">
        <v>531102</v>
      </c>
      <c r="B309" t="s">
        <v>500</v>
      </c>
      <c r="C309" t="str">
        <f>dummys!B309</f>
        <v>Lavadora</v>
      </c>
      <c r="D309" t="b">
        <f t="shared" si="4"/>
        <v>1</v>
      </c>
    </row>
    <row r="310" spans="1:4" x14ac:dyDescent="0.25">
      <c r="A310">
        <v>531103</v>
      </c>
      <c r="B310" t="s">
        <v>502</v>
      </c>
      <c r="C310" t="str">
        <f>dummys!B310</f>
        <v>Estufa de gas</v>
      </c>
      <c r="D310" t="b">
        <f t="shared" si="4"/>
        <v>1</v>
      </c>
    </row>
    <row r="311" spans="1:4" x14ac:dyDescent="0.25">
      <c r="A311">
        <v>531105</v>
      </c>
      <c r="B311" t="s">
        <v>504</v>
      </c>
      <c r="C311" t="str">
        <f>dummys!B311</f>
        <v>Equipos de climatización</v>
      </c>
      <c r="D311" t="b">
        <f t="shared" si="4"/>
        <v>1</v>
      </c>
    </row>
    <row r="312" spans="1:4" x14ac:dyDescent="0.25">
      <c r="A312">
        <v>532</v>
      </c>
      <c r="B312" t="s">
        <v>506</v>
      </c>
      <c r="C312" t="str">
        <f>dummys!B312</f>
        <v>Artefactos eléctricos para el hogar pequeños</v>
      </c>
      <c r="D312" t="b">
        <f t="shared" si="4"/>
        <v>1</v>
      </c>
    </row>
    <row r="313" spans="1:4" x14ac:dyDescent="0.25">
      <c r="A313">
        <v>5321</v>
      </c>
      <c r="B313" t="s">
        <v>507</v>
      </c>
      <c r="C313" t="str">
        <f>dummys!B313</f>
        <v>Artefactos pequeños para el hogar</v>
      </c>
      <c r="D313" t="b">
        <f t="shared" si="4"/>
        <v>1</v>
      </c>
    </row>
    <row r="314" spans="1:4" x14ac:dyDescent="0.25">
      <c r="A314">
        <v>532101</v>
      </c>
      <c r="B314" t="s">
        <v>508</v>
      </c>
      <c r="C314" t="str">
        <f>dummys!B314</f>
        <v>Abanicos portátiles</v>
      </c>
      <c r="D314" t="b">
        <f t="shared" si="4"/>
        <v>1</v>
      </c>
    </row>
    <row r="315" spans="1:4" x14ac:dyDescent="0.25">
      <c r="A315">
        <v>532102</v>
      </c>
      <c r="B315" t="s">
        <v>510</v>
      </c>
      <c r="C315" t="str">
        <f>dummys!B315</f>
        <v>Licuadora</v>
      </c>
      <c r="D315" t="b">
        <f t="shared" si="4"/>
        <v>1</v>
      </c>
    </row>
    <row r="316" spans="1:4" x14ac:dyDescent="0.25">
      <c r="A316">
        <v>54</v>
      </c>
      <c r="B316" t="s">
        <v>512</v>
      </c>
      <c r="C316" t="str">
        <f>dummys!B316</f>
        <v>Artículos de Vidrio y Utensilios para el  Hogar</v>
      </c>
      <c r="D316" t="b">
        <f t="shared" si="4"/>
        <v>1</v>
      </c>
    </row>
    <row r="317" spans="1:4" x14ac:dyDescent="0.25">
      <c r="A317">
        <v>541</v>
      </c>
      <c r="B317" t="s">
        <v>513</v>
      </c>
      <c r="C317" t="str">
        <f>dummys!B317</f>
        <v>Artículos de vidrio y utensilios no eléctricoss</v>
      </c>
      <c r="D317" t="b">
        <f t="shared" si="4"/>
        <v>1</v>
      </c>
    </row>
    <row r="318" spans="1:4" x14ac:dyDescent="0.25">
      <c r="A318">
        <v>5411</v>
      </c>
      <c r="B318" t="s">
        <v>514</v>
      </c>
      <c r="C318" t="str">
        <f>dummys!B318</f>
        <v>Artículos y utensilios para el hogar</v>
      </c>
      <c r="D318" t="b">
        <f t="shared" si="4"/>
        <v>1</v>
      </c>
    </row>
    <row r="319" spans="1:4" x14ac:dyDescent="0.25">
      <c r="A319">
        <v>541103</v>
      </c>
      <c r="B319" t="s">
        <v>515</v>
      </c>
      <c r="C319" t="str">
        <f>dummys!B319</f>
        <v>Cuchillo</v>
      </c>
      <c r="D319" t="b">
        <f t="shared" si="4"/>
        <v>1</v>
      </c>
    </row>
    <row r="320" spans="1:4" x14ac:dyDescent="0.25">
      <c r="A320">
        <v>541104</v>
      </c>
      <c r="B320" t="s">
        <v>517</v>
      </c>
      <c r="C320" t="str">
        <f>dummys!B320</f>
        <v>Utensilios para cocina</v>
      </c>
      <c r="D320" t="b">
        <f t="shared" si="4"/>
        <v>1</v>
      </c>
    </row>
    <row r="321" spans="1:4" x14ac:dyDescent="0.25">
      <c r="A321">
        <v>541105</v>
      </c>
      <c r="B321" t="s">
        <v>519</v>
      </c>
      <c r="C321" t="str">
        <f>dummys!B321</f>
        <v>Vajilla para el hogar</v>
      </c>
      <c r="D321" t="b">
        <f t="shared" si="4"/>
        <v>1</v>
      </c>
    </row>
    <row r="322" spans="1:4" x14ac:dyDescent="0.25">
      <c r="A322">
        <v>55</v>
      </c>
      <c r="B322" t="s">
        <v>521</v>
      </c>
      <c r="C322" t="str">
        <f>dummys!B322</f>
        <v>Herramientas y Equipos para el Hogar</v>
      </c>
      <c r="D322" t="b">
        <f t="shared" si="4"/>
        <v>1</v>
      </c>
    </row>
    <row r="323" spans="1:4" x14ac:dyDescent="0.25">
      <c r="A323">
        <v>552</v>
      </c>
      <c r="B323" t="s">
        <v>522</v>
      </c>
      <c r="C323" t="str">
        <f>dummys!B323</f>
        <v>Herramientas pequeñas y accesorios diversos</v>
      </c>
      <c r="D323" t="b">
        <f t="shared" ref="D323:D386" si="5">C323=B323</f>
        <v>1</v>
      </c>
    </row>
    <row r="324" spans="1:4" x14ac:dyDescent="0.25">
      <c r="A324">
        <v>5521</v>
      </c>
      <c r="B324" t="s">
        <v>523</v>
      </c>
      <c r="C324" t="str">
        <f>dummys!B324</f>
        <v>Herramientas y artefactos pequeños para el hogar</v>
      </c>
      <c r="D324" t="b">
        <f t="shared" si="5"/>
        <v>1</v>
      </c>
    </row>
    <row r="325" spans="1:4" x14ac:dyDescent="0.25">
      <c r="A325">
        <v>552101</v>
      </c>
      <c r="B325" t="s">
        <v>524</v>
      </c>
      <c r="C325" t="str">
        <f>dummys!B325</f>
        <v>Bombillas</v>
      </c>
      <c r="D325" t="b">
        <f t="shared" si="5"/>
        <v>1</v>
      </c>
    </row>
    <row r="326" spans="1:4" x14ac:dyDescent="0.25">
      <c r="A326">
        <v>552103</v>
      </c>
      <c r="B326" t="s">
        <v>526</v>
      </c>
      <c r="C326" t="str">
        <f>dummys!B326</f>
        <v>Cerradura de puerta para el hogar</v>
      </c>
      <c r="D326" t="b">
        <f t="shared" si="5"/>
        <v>1</v>
      </c>
    </row>
    <row r="327" spans="1:4" x14ac:dyDescent="0.25">
      <c r="A327">
        <v>56</v>
      </c>
      <c r="B327" t="s">
        <v>528</v>
      </c>
      <c r="C327" t="str">
        <f>dummys!B327</f>
        <v>Bienes y Servicios para Conservación del Hogar</v>
      </c>
      <c r="D327" t="b">
        <f t="shared" si="5"/>
        <v>1</v>
      </c>
    </row>
    <row r="328" spans="1:4" x14ac:dyDescent="0.25">
      <c r="A328">
        <v>561</v>
      </c>
      <c r="B328" t="s">
        <v>529</v>
      </c>
      <c r="C328" t="str">
        <f>dummys!B328</f>
        <v>Bienes para el hogar no duraderos</v>
      </c>
      <c r="D328" t="b">
        <f t="shared" si="5"/>
        <v>1</v>
      </c>
    </row>
    <row r="329" spans="1:4" x14ac:dyDescent="0.25">
      <c r="A329">
        <v>5611</v>
      </c>
      <c r="B329" t="s">
        <v>530</v>
      </c>
      <c r="C329" t="str">
        <f>dummys!B329</f>
        <v>Productos de limpieza y artículos para el hogar</v>
      </c>
      <c r="D329" t="b">
        <f t="shared" si="5"/>
        <v>1</v>
      </c>
    </row>
    <row r="330" spans="1:4" x14ac:dyDescent="0.25">
      <c r="A330">
        <v>561101</v>
      </c>
      <c r="B330" t="s">
        <v>531</v>
      </c>
      <c r="C330" t="str">
        <f>dummys!B330</f>
        <v>Detergentes</v>
      </c>
      <c r="D330" t="b">
        <f t="shared" si="5"/>
        <v>1</v>
      </c>
    </row>
    <row r="331" spans="1:4" x14ac:dyDescent="0.25">
      <c r="A331">
        <v>561102</v>
      </c>
      <c r="B331" t="s">
        <v>533</v>
      </c>
      <c r="C331" t="str">
        <f>dummys!B331</f>
        <v>Cloro</v>
      </c>
      <c r="D331" t="b">
        <f t="shared" si="5"/>
        <v>1</v>
      </c>
    </row>
    <row r="332" spans="1:4" x14ac:dyDescent="0.25">
      <c r="A332">
        <v>561103</v>
      </c>
      <c r="B332" t="s">
        <v>535</v>
      </c>
      <c r="C332" t="str">
        <f>dummys!B332</f>
        <v>Jabones</v>
      </c>
      <c r="D332" t="b">
        <f t="shared" si="5"/>
        <v>1</v>
      </c>
    </row>
    <row r="333" spans="1:4" x14ac:dyDescent="0.25">
      <c r="A333">
        <v>561104</v>
      </c>
      <c r="B333" t="s">
        <v>537</v>
      </c>
      <c r="C333" t="str">
        <f>dummys!B333</f>
        <v>Velas</v>
      </c>
      <c r="D333" t="b">
        <f t="shared" si="5"/>
        <v>1</v>
      </c>
    </row>
    <row r="334" spans="1:4" x14ac:dyDescent="0.25">
      <c r="A334">
        <v>561105</v>
      </c>
      <c r="B334" t="s">
        <v>539</v>
      </c>
      <c r="C334" t="str">
        <f>dummys!B334</f>
        <v>Desinfectantes</v>
      </c>
      <c r="D334" t="b">
        <f t="shared" si="5"/>
        <v>1</v>
      </c>
    </row>
    <row r="335" spans="1:4" x14ac:dyDescent="0.25">
      <c r="A335">
        <v>561106</v>
      </c>
      <c r="B335" t="s">
        <v>541</v>
      </c>
      <c r="C335" t="str">
        <f>dummys!B335</f>
        <v>Suavizante de ropa</v>
      </c>
      <c r="D335" t="b">
        <f t="shared" si="5"/>
        <v>1</v>
      </c>
    </row>
    <row r="336" spans="1:4" x14ac:dyDescent="0.25">
      <c r="A336">
        <v>561107</v>
      </c>
      <c r="B336" t="s">
        <v>543</v>
      </c>
      <c r="C336" t="str">
        <f>dummys!B336</f>
        <v>Fósforos</v>
      </c>
      <c r="D336" t="b">
        <f t="shared" si="5"/>
        <v>1</v>
      </c>
    </row>
    <row r="337" spans="1:4" x14ac:dyDescent="0.25">
      <c r="A337">
        <v>561109</v>
      </c>
      <c r="B337" t="s">
        <v>545</v>
      </c>
      <c r="C337" t="str">
        <f>dummys!B337</f>
        <v>Brillo verde</v>
      </c>
      <c r="D337" t="b">
        <f t="shared" si="5"/>
        <v>1</v>
      </c>
    </row>
    <row r="338" spans="1:4" x14ac:dyDescent="0.25">
      <c r="A338">
        <v>561110</v>
      </c>
      <c r="B338" t="s">
        <v>547</v>
      </c>
      <c r="C338" t="str">
        <f>dummys!B338</f>
        <v>Ambientadores</v>
      </c>
      <c r="D338" t="b">
        <f t="shared" si="5"/>
        <v>1</v>
      </c>
    </row>
    <row r="339" spans="1:4" x14ac:dyDescent="0.25">
      <c r="A339">
        <v>561111</v>
      </c>
      <c r="B339" t="s">
        <v>549</v>
      </c>
      <c r="C339" t="str">
        <f>dummys!B339</f>
        <v>Escobas y suaper</v>
      </c>
      <c r="D339" t="b">
        <f t="shared" si="5"/>
        <v>1</v>
      </c>
    </row>
    <row r="340" spans="1:4" x14ac:dyDescent="0.25">
      <c r="A340">
        <v>562</v>
      </c>
      <c r="B340" t="s">
        <v>551</v>
      </c>
      <c r="C340" t="str">
        <f>dummys!B340</f>
        <v>Servicios domésticos y  para el hogar</v>
      </c>
      <c r="D340" t="b">
        <f t="shared" si="5"/>
        <v>1</v>
      </c>
    </row>
    <row r="341" spans="1:4" x14ac:dyDescent="0.25">
      <c r="A341">
        <v>5621</v>
      </c>
      <c r="B341" t="s">
        <v>552</v>
      </c>
      <c r="C341" t="str">
        <f>dummys!B341</f>
        <v>Servicio doméstico</v>
      </c>
      <c r="D341" t="b">
        <f t="shared" si="5"/>
        <v>1</v>
      </c>
    </row>
    <row r="342" spans="1:4" x14ac:dyDescent="0.25">
      <c r="A342">
        <v>562101</v>
      </c>
      <c r="B342" t="s">
        <v>552</v>
      </c>
      <c r="C342" t="str">
        <f>dummys!B342</f>
        <v>Servicio doméstico</v>
      </c>
      <c r="D342" t="b">
        <f t="shared" si="5"/>
        <v>1</v>
      </c>
    </row>
    <row r="343" spans="1:4" x14ac:dyDescent="0.25">
      <c r="A343">
        <v>6</v>
      </c>
      <c r="B343" t="s">
        <v>554</v>
      </c>
      <c r="C343" t="str">
        <f>dummys!B343</f>
        <v>Salud</v>
      </c>
      <c r="D343" t="b">
        <f t="shared" si="5"/>
        <v>1</v>
      </c>
    </row>
    <row r="344" spans="1:4" x14ac:dyDescent="0.25">
      <c r="A344">
        <v>61</v>
      </c>
      <c r="B344" t="s">
        <v>555</v>
      </c>
      <c r="C344" t="str">
        <f>dummys!B344</f>
        <v>Productos, Artefactos y Equipos Médicos</v>
      </c>
      <c r="D344" t="b">
        <f t="shared" si="5"/>
        <v>1</v>
      </c>
    </row>
    <row r="345" spans="1:4" x14ac:dyDescent="0.25">
      <c r="A345">
        <v>611</v>
      </c>
      <c r="B345" t="s">
        <v>556</v>
      </c>
      <c r="C345" t="str">
        <f>dummys!B345</f>
        <v>Productos Farmacéuticos</v>
      </c>
      <c r="D345" t="b">
        <f t="shared" si="5"/>
        <v>1</v>
      </c>
    </row>
    <row r="346" spans="1:4" x14ac:dyDescent="0.25">
      <c r="A346">
        <v>6111</v>
      </c>
      <c r="B346" t="s">
        <v>557</v>
      </c>
      <c r="C346" t="str">
        <f>dummys!B346</f>
        <v>Productos farmacéuticos</v>
      </c>
      <c r="D346" t="b">
        <f t="shared" si="5"/>
        <v>1</v>
      </c>
    </row>
    <row r="347" spans="1:4" x14ac:dyDescent="0.25">
      <c r="A347">
        <v>611101</v>
      </c>
      <c r="B347" t="s">
        <v>558</v>
      </c>
      <c r="C347" t="str">
        <f>dummys!B347</f>
        <v>Antihipertensivos</v>
      </c>
      <c r="D347" t="b">
        <f t="shared" si="5"/>
        <v>1</v>
      </c>
    </row>
    <row r="348" spans="1:4" x14ac:dyDescent="0.25">
      <c r="A348">
        <v>611102</v>
      </c>
      <c r="B348" t="s">
        <v>560</v>
      </c>
      <c r="C348" t="str">
        <f>dummys!B348</f>
        <v>Antibióticos</v>
      </c>
      <c r="D348" t="b">
        <f t="shared" si="5"/>
        <v>1</v>
      </c>
    </row>
    <row r="349" spans="1:4" x14ac:dyDescent="0.25">
      <c r="A349">
        <v>611103</v>
      </c>
      <c r="B349" t="s">
        <v>562</v>
      </c>
      <c r="C349" t="str">
        <f>dummys!B349</f>
        <v>Antigripales</v>
      </c>
      <c r="D349" t="b">
        <f t="shared" si="5"/>
        <v>1</v>
      </c>
    </row>
    <row r="350" spans="1:4" x14ac:dyDescent="0.25">
      <c r="A350">
        <v>611104</v>
      </c>
      <c r="B350" t="s">
        <v>564</v>
      </c>
      <c r="C350" t="str">
        <f>dummys!B350</f>
        <v>Analgésicos</v>
      </c>
      <c r="D350" t="b">
        <f t="shared" si="5"/>
        <v>1</v>
      </c>
    </row>
    <row r="351" spans="1:4" x14ac:dyDescent="0.25">
      <c r="A351">
        <v>611105</v>
      </c>
      <c r="B351" t="s">
        <v>566</v>
      </c>
      <c r="C351" t="str">
        <f>dummys!B351</f>
        <v>Vitaminas</v>
      </c>
      <c r="D351" t="b">
        <f t="shared" si="5"/>
        <v>1</v>
      </c>
    </row>
    <row r="352" spans="1:4" x14ac:dyDescent="0.25">
      <c r="A352">
        <v>611106</v>
      </c>
      <c r="B352" t="s">
        <v>568</v>
      </c>
      <c r="C352" t="str">
        <f>dummys!B352</f>
        <v>Antiinflamatorios</v>
      </c>
      <c r="D352" t="b">
        <f t="shared" si="5"/>
        <v>1</v>
      </c>
    </row>
    <row r="353" spans="1:4" x14ac:dyDescent="0.25">
      <c r="A353">
        <v>611107</v>
      </c>
      <c r="B353" t="s">
        <v>570</v>
      </c>
      <c r="C353" t="str">
        <f>dummys!B353</f>
        <v>Insulina</v>
      </c>
      <c r="D353" t="b">
        <f t="shared" si="5"/>
        <v>1</v>
      </c>
    </row>
    <row r="354" spans="1:4" x14ac:dyDescent="0.25">
      <c r="A354">
        <v>611108</v>
      </c>
      <c r="B354" t="s">
        <v>572</v>
      </c>
      <c r="C354" t="str">
        <f>dummys!B354</f>
        <v>Antiácidos</v>
      </c>
      <c r="D354" t="b">
        <f t="shared" si="5"/>
        <v>1</v>
      </c>
    </row>
    <row r="355" spans="1:4" x14ac:dyDescent="0.25">
      <c r="A355">
        <v>611109</v>
      </c>
      <c r="B355" t="s">
        <v>574</v>
      </c>
      <c r="C355" t="str">
        <f>dummys!B355</f>
        <v>Antidiarréicos y antiespasmódicos</v>
      </c>
      <c r="D355" t="b">
        <f t="shared" si="5"/>
        <v>1</v>
      </c>
    </row>
    <row r="356" spans="1:4" x14ac:dyDescent="0.25">
      <c r="A356">
        <v>611110</v>
      </c>
      <c r="B356" t="s">
        <v>576</v>
      </c>
      <c r="C356" t="str">
        <f>dummys!B356</f>
        <v>Antiparasitarios</v>
      </c>
      <c r="D356" t="b">
        <f t="shared" si="5"/>
        <v>1</v>
      </c>
    </row>
    <row r="357" spans="1:4" x14ac:dyDescent="0.25">
      <c r="A357">
        <v>611111</v>
      </c>
      <c r="B357" t="s">
        <v>578</v>
      </c>
      <c r="C357" t="str">
        <f>dummys!B357</f>
        <v>Complejo B</v>
      </c>
      <c r="D357" t="b">
        <f t="shared" si="5"/>
        <v>1</v>
      </c>
    </row>
    <row r="358" spans="1:4" x14ac:dyDescent="0.25">
      <c r="A358">
        <v>611112</v>
      </c>
      <c r="B358" t="s">
        <v>580</v>
      </c>
      <c r="C358" t="str">
        <f>dummys!B358</f>
        <v>Gotas oftálmologicas</v>
      </c>
      <c r="D358" t="b">
        <f t="shared" si="5"/>
        <v>1</v>
      </c>
    </row>
    <row r="359" spans="1:4" x14ac:dyDescent="0.25">
      <c r="A359">
        <v>611113</v>
      </c>
      <c r="B359" t="s">
        <v>582</v>
      </c>
      <c r="C359" t="str">
        <f>dummys!B359</f>
        <v>Antialérgicos y Antihistamínicos</v>
      </c>
      <c r="D359" t="b">
        <f t="shared" si="5"/>
        <v>1</v>
      </c>
    </row>
    <row r="360" spans="1:4" x14ac:dyDescent="0.25">
      <c r="A360">
        <v>611114</v>
      </c>
      <c r="B360" t="s">
        <v>584</v>
      </c>
      <c r="C360" t="str">
        <f>dummys!B360</f>
        <v>Medicamento para las Tiroides</v>
      </c>
      <c r="D360" t="b">
        <f t="shared" si="5"/>
        <v>1</v>
      </c>
    </row>
    <row r="361" spans="1:4" x14ac:dyDescent="0.25">
      <c r="A361">
        <v>611115</v>
      </c>
      <c r="B361" t="s">
        <v>586</v>
      </c>
      <c r="C361" t="str">
        <f>dummys!B361</f>
        <v>Medicamento para la diabetes (no insulina)</v>
      </c>
      <c r="D361" t="b">
        <f t="shared" si="5"/>
        <v>1</v>
      </c>
    </row>
    <row r="362" spans="1:4" x14ac:dyDescent="0.25">
      <c r="A362">
        <v>611116</v>
      </c>
      <c r="B362" t="s">
        <v>588</v>
      </c>
      <c r="C362" t="str">
        <f>dummys!B362</f>
        <v>Antiulceroso</v>
      </c>
      <c r="D362" t="b">
        <f t="shared" si="5"/>
        <v>1</v>
      </c>
    </row>
    <row r="363" spans="1:4" x14ac:dyDescent="0.25">
      <c r="A363">
        <v>611117</v>
      </c>
      <c r="B363" t="s">
        <v>590</v>
      </c>
      <c r="C363" t="str">
        <f>dummys!B363</f>
        <v>Medicamentos para el sistema nervioso</v>
      </c>
      <c r="D363" t="b">
        <f t="shared" si="5"/>
        <v>1</v>
      </c>
    </row>
    <row r="364" spans="1:4" x14ac:dyDescent="0.25">
      <c r="A364">
        <v>611120</v>
      </c>
      <c r="B364" t="s">
        <v>592</v>
      </c>
      <c r="C364" t="str">
        <f>dummys!B364</f>
        <v>Medicamento para Osteoporosis</v>
      </c>
      <c r="D364" t="b">
        <f t="shared" si="5"/>
        <v>1</v>
      </c>
    </row>
    <row r="365" spans="1:4" x14ac:dyDescent="0.25">
      <c r="A365">
        <v>611122</v>
      </c>
      <c r="B365" t="s">
        <v>594</v>
      </c>
      <c r="C365" t="str">
        <f>dummys!B365</f>
        <v>Antitusivo y broncodilatador</v>
      </c>
      <c r="D365" t="b">
        <f t="shared" si="5"/>
        <v>1</v>
      </c>
    </row>
    <row r="366" spans="1:4" x14ac:dyDescent="0.25">
      <c r="A366">
        <v>611123</v>
      </c>
      <c r="B366" t="s">
        <v>596</v>
      </c>
      <c r="C366" t="str">
        <f>dummys!B366</f>
        <v>Anticonceptivo oral</v>
      </c>
      <c r="D366" t="b">
        <f t="shared" si="5"/>
        <v>1</v>
      </c>
    </row>
    <row r="367" spans="1:4" x14ac:dyDescent="0.25">
      <c r="A367">
        <v>613</v>
      </c>
      <c r="B367" t="s">
        <v>598</v>
      </c>
      <c r="C367" t="str">
        <f>dummys!B367</f>
        <v>Artefactos y equipo terapéuticos</v>
      </c>
      <c r="D367" t="b">
        <f t="shared" si="5"/>
        <v>1</v>
      </c>
    </row>
    <row r="368" spans="1:4" x14ac:dyDescent="0.25">
      <c r="A368">
        <v>6131</v>
      </c>
      <c r="B368" t="s">
        <v>598</v>
      </c>
      <c r="C368" t="str">
        <f>dummys!B368</f>
        <v>Artefactos y equipo terapéuticos</v>
      </c>
      <c r="D368" t="b">
        <f t="shared" si="5"/>
        <v>1</v>
      </c>
    </row>
    <row r="369" spans="1:4" x14ac:dyDescent="0.25">
      <c r="A369">
        <v>613101</v>
      </c>
      <c r="B369" t="s">
        <v>599</v>
      </c>
      <c r="C369" t="str">
        <f>dummys!B369</f>
        <v>Anteojos</v>
      </c>
      <c r="D369" t="b">
        <f t="shared" si="5"/>
        <v>1</v>
      </c>
    </row>
    <row r="370" spans="1:4" x14ac:dyDescent="0.25">
      <c r="A370">
        <v>62</v>
      </c>
      <c r="B370" t="s">
        <v>601</v>
      </c>
      <c r="C370" t="str">
        <f>dummys!B370</f>
        <v>Servicios para Pacientes Externos</v>
      </c>
      <c r="D370" t="b">
        <f t="shared" si="5"/>
        <v>1</v>
      </c>
    </row>
    <row r="371" spans="1:4" x14ac:dyDescent="0.25">
      <c r="A371">
        <v>621</v>
      </c>
      <c r="B371" t="s">
        <v>602</v>
      </c>
      <c r="C371" t="str">
        <f>dummys!B371</f>
        <v>Servicios médicos</v>
      </c>
      <c r="D371" t="b">
        <f t="shared" si="5"/>
        <v>1</v>
      </c>
    </row>
    <row r="372" spans="1:4" x14ac:dyDescent="0.25">
      <c r="A372">
        <v>6211</v>
      </c>
      <c r="B372" t="s">
        <v>602</v>
      </c>
      <c r="C372" t="str">
        <f>dummys!B372</f>
        <v>Servicios médicos</v>
      </c>
      <c r="D372" t="b">
        <f t="shared" si="5"/>
        <v>1</v>
      </c>
    </row>
    <row r="373" spans="1:4" x14ac:dyDescent="0.25">
      <c r="A373">
        <v>621101</v>
      </c>
      <c r="B373" t="s">
        <v>603</v>
      </c>
      <c r="C373" t="str">
        <f>dummys!B373</f>
        <v>Consulta médico ginecólogo</v>
      </c>
      <c r="D373" t="b">
        <f t="shared" si="5"/>
        <v>1</v>
      </c>
    </row>
    <row r="374" spans="1:4" x14ac:dyDescent="0.25">
      <c r="A374">
        <v>621102</v>
      </c>
      <c r="B374" t="s">
        <v>605</v>
      </c>
      <c r="C374" t="str">
        <f>dummys!B374</f>
        <v>Consulta médico general</v>
      </c>
      <c r="D374" t="b">
        <f t="shared" si="5"/>
        <v>1</v>
      </c>
    </row>
    <row r="375" spans="1:4" x14ac:dyDescent="0.25">
      <c r="A375">
        <v>621103</v>
      </c>
      <c r="B375" t="s">
        <v>607</v>
      </c>
      <c r="C375" t="str">
        <f>dummys!B375</f>
        <v>Consulta médico cardiólogo</v>
      </c>
      <c r="D375" t="b">
        <f t="shared" si="5"/>
        <v>1</v>
      </c>
    </row>
    <row r="376" spans="1:4" x14ac:dyDescent="0.25">
      <c r="A376">
        <v>621104</v>
      </c>
      <c r="B376" t="s">
        <v>609</v>
      </c>
      <c r="C376" t="str">
        <f>dummys!B376</f>
        <v>Consulta médico pediatra</v>
      </c>
      <c r="D376" t="b">
        <f t="shared" si="5"/>
        <v>1</v>
      </c>
    </row>
    <row r="377" spans="1:4" x14ac:dyDescent="0.25">
      <c r="A377">
        <v>622</v>
      </c>
      <c r="B377" t="s">
        <v>611</v>
      </c>
      <c r="C377" t="str">
        <f>dummys!B377</f>
        <v>Servicios dentales</v>
      </c>
      <c r="D377" t="b">
        <f t="shared" si="5"/>
        <v>1</v>
      </c>
    </row>
    <row r="378" spans="1:4" x14ac:dyDescent="0.25">
      <c r="A378">
        <v>6221</v>
      </c>
      <c r="B378" t="s">
        <v>611</v>
      </c>
      <c r="C378" t="str">
        <f>dummys!B378</f>
        <v>Servicios dentales</v>
      </c>
      <c r="D378" t="b">
        <f t="shared" si="5"/>
        <v>1</v>
      </c>
    </row>
    <row r="379" spans="1:4" x14ac:dyDescent="0.25">
      <c r="A379">
        <v>622102</v>
      </c>
      <c r="B379" t="s">
        <v>612</v>
      </c>
      <c r="C379" t="str">
        <f>dummys!B379</f>
        <v>Consulta odontológica</v>
      </c>
      <c r="D379" t="b">
        <f t="shared" si="5"/>
        <v>1</v>
      </c>
    </row>
    <row r="380" spans="1:4" x14ac:dyDescent="0.25">
      <c r="A380">
        <v>622104</v>
      </c>
      <c r="B380" t="s">
        <v>614</v>
      </c>
      <c r="C380" t="str">
        <f>dummys!B380</f>
        <v>Servicio de ortodoncia</v>
      </c>
      <c r="D380" t="b">
        <f t="shared" si="5"/>
        <v>1</v>
      </c>
    </row>
    <row r="381" spans="1:4" x14ac:dyDescent="0.25">
      <c r="A381">
        <v>623</v>
      </c>
      <c r="B381" t="s">
        <v>616</v>
      </c>
      <c r="C381" t="str">
        <f>dummys!B381</f>
        <v>Servicios paramédicos</v>
      </c>
      <c r="D381" t="b">
        <f t="shared" si="5"/>
        <v>1</v>
      </c>
    </row>
    <row r="382" spans="1:4" x14ac:dyDescent="0.25">
      <c r="A382">
        <v>6231</v>
      </c>
      <c r="B382" t="s">
        <v>617</v>
      </c>
      <c r="C382" t="str">
        <f>dummys!B382</f>
        <v>Análisis de laboratorio</v>
      </c>
      <c r="D382" t="b">
        <f t="shared" si="5"/>
        <v>1</v>
      </c>
    </row>
    <row r="383" spans="1:4" x14ac:dyDescent="0.25">
      <c r="A383">
        <v>623101</v>
      </c>
      <c r="B383" t="s">
        <v>617</v>
      </c>
      <c r="C383" t="str">
        <f>dummys!B383</f>
        <v>Análisis de laboratorio</v>
      </c>
      <c r="D383" t="b">
        <f t="shared" si="5"/>
        <v>1</v>
      </c>
    </row>
    <row r="384" spans="1:4" x14ac:dyDescent="0.25">
      <c r="A384">
        <v>6232</v>
      </c>
      <c r="B384" t="s">
        <v>619</v>
      </c>
      <c r="C384" t="str">
        <f>dummys!B384</f>
        <v>Estudios de sonido e imagen</v>
      </c>
      <c r="D384" t="b">
        <f t="shared" si="5"/>
        <v>1</v>
      </c>
    </row>
    <row r="385" spans="1:4" x14ac:dyDescent="0.25">
      <c r="A385">
        <v>623201</v>
      </c>
      <c r="B385" t="s">
        <v>620</v>
      </c>
      <c r="C385" t="str">
        <f>dummys!B385</f>
        <v>Análisis de imágenes</v>
      </c>
      <c r="D385" t="b">
        <f t="shared" si="5"/>
        <v>1</v>
      </c>
    </row>
    <row r="386" spans="1:4" x14ac:dyDescent="0.25">
      <c r="A386">
        <v>623202</v>
      </c>
      <c r="B386" t="s">
        <v>622</v>
      </c>
      <c r="C386" t="str">
        <f>dummys!B386</f>
        <v>Pruebas de imágenes especializadas</v>
      </c>
      <c r="D386" t="b">
        <f t="shared" si="5"/>
        <v>1</v>
      </c>
    </row>
    <row r="387" spans="1:4" x14ac:dyDescent="0.25">
      <c r="A387">
        <v>63</v>
      </c>
      <c r="B387" t="s">
        <v>624</v>
      </c>
      <c r="C387" t="str">
        <f>dummys!B387</f>
        <v>Servicios de Hospital</v>
      </c>
      <c r="D387" t="b">
        <f t="shared" ref="D387:D450" si="6">C387=B387</f>
        <v>1</v>
      </c>
    </row>
    <row r="388" spans="1:4" x14ac:dyDescent="0.25">
      <c r="A388">
        <v>631</v>
      </c>
      <c r="B388" t="s">
        <v>625</v>
      </c>
      <c r="C388" t="str">
        <f>dummys!B388</f>
        <v>Servicios de hospital</v>
      </c>
      <c r="D388" t="b">
        <f t="shared" si="6"/>
        <v>1</v>
      </c>
    </row>
    <row r="389" spans="1:4" x14ac:dyDescent="0.25">
      <c r="A389">
        <v>6311</v>
      </c>
      <c r="B389" t="s">
        <v>625</v>
      </c>
      <c r="C389" t="str">
        <f>dummys!B389</f>
        <v>Servicios de hospital</v>
      </c>
      <c r="D389" t="b">
        <f t="shared" si="6"/>
        <v>1</v>
      </c>
    </row>
    <row r="390" spans="1:4" x14ac:dyDescent="0.25">
      <c r="A390">
        <v>631101</v>
      </c>
      <c r="B390" t="s">
        <v>626</v>
      </c>
      <c r="C390" t="str">
        <f>dummys!B390</f>
        <v>Internamiento</v>
      </c>
      <c r="D390" t="b">
        <f t="shared" si="6"/>
        <v>1</v>
      </c>
    </row>
    <row r="391" spans="1:4" x14ac:dyDescent="0.25">
      <c r="A391">
        <v>631102</v>
      </c>
      <c r="B391" t="s">
        <v>628</v>
      </c>
      <c r="C391" t="str">
        <f>dummys!B391</f>
        <v>Costo de cirugía</v>
      </c>
      <c r="D391" t="b">
        <f t="shared" si="6"/>
        <v>1</v>
      </c>
    </row>
    <row r="392" spans="1:4" x14ac:dyDescent="0.25">
      <c r="A392">
        <v>7</v>
      </c>
      <c r="B392" t="s">
        <v>15</v>
      </c>
      <c r="C392" t="str">
        <f>dummys!B392</f>
        <v>Transporte</v>
      </c>
      <c r="D392" t="b">
        <f t="shared" si="6"/>
        <v>1</v>
      </c>
    </row>
    <row r="393" spans="1:4" x14ac:dyDescent="0.25">
      <c r="A393">
        <v>71</v>
      </c>
      <c r="B393" t="s">
        <v>630</v>
      </c>
      <c r="C393" t="str">
        <f>dummys!B393</f>
        <v>Adquisición de Vehículos</v>
      </c>
      <c r="D393" t="b">
        <f t="shared" si="6"/>
        <v>1</v>
      </c>
    </row>
    <row r="394" spans="1:4" x14ac:dyDescent="0.25">
      <c r="A394">
        <v>711</v>
      </c>
      <c r="B394" t="s">
        <v>631</v>
      </c>
      <c r="C394" t="str">
        <f>dummys!B394</f>
        <v>Vehículos a motor</v>
      </c>
      <c r="D394" t="b">
        <f t="shared" si="6"/>
        <v>1</v>
      </c>
    </row>
    <row r="395" spans="1:4" x14ac:dyDescent="0.25">
      <c r="A395">
        <v>7111</v>
      </c>
      <c r="B395" t="s">
        <v>632</v>
      </c>
      <c r="C395" t="str">
        <f>dummys!B395</f>
        <v>Adquisición de vehículos</v>
      </c>
      <c r="D395" t="b">
        <f t="shared" si="6"/>
        <v>1</v>
      </c>
    </row>
    <row r="396" spans="1:4" x14ac:dyDescent="0.25">
      <c r="A396">
        <v>711101</v>
      </c>
      <c r="B396" t="s">
        <v>633</v>
      </c>
      <c r="C396" t="str">
        <f>dummys!B396</f>
        <v>Automóviles</v>
      </c>
      <c r="D396" t="b">
        <f t="shared" si="6"/>
        <v>1</v>
      </c>
    </row>
    <row r="397" spans="1:4" x14ac:dyDescent="0.25">
      <c r="A397">
        <v>712</v>
      </c>
      <c r="B397" t="s">
        <v>635</v>
      </c>
      <c r="C397" t="str">
        <f>dummys!B397</f>
        <v>Motocicletas</v>
      </c>
      <c r="D397" t="b">
        <f t="shared" si="6"/>
        <v>1</v>
      </c>
    </row>
    <row r="398" spans="1:4" x14ac:dyDescent="0.25">
      <c r="A398">
        <v>7121</v>
      </c>
      <c r="B398" t="s">
        <v>636</v>
      </c>
      <c r="C398" t="str">
        <f>dummys!B398</f>
        <v>Adquisición de motocicletas</v>
      </c>
      <c r="D398" t="b">
        <f t="shared" si="6"/>
        <v>1</v>
      </c>
    </row>
    <row r="399" spans="1:4" x14ac:dyDescent="0.25">
      <c r="A399">
        <v>712101</v>
      </c>
      <c r="B399" t="s">
        <v>635</v>
      </c>
      <c r="C399" t="str">
        <f>dummys!B399</f>
        <v>Motocicletas</v>
      </c>
      <c r="D399" t="b">
        <f t="shared" si="6"/>
        <v>1</v>
      </c>
    </row>
    <row r="400" spans="1:4" x14ac:dyDescent="0.25">
      <c r="A400">
        <v>72</v>
      </c>
      <c r="B400" t="s">
        <v>638</v>
      </c>
      <c r="C400" t="str">
        <f>dummys!B400</f>
        <v>Funcionamiento de Equipo de Transporte</v>
      </c>
      <c r="D400" t="b">
        <f t="shared" si="6"/>
        <v>1</v>
      </c>
    </row>
    <row r="401" spans="1:4" x14ac:dyDescent="0.25">
      <c r="A401">
        <v>721</v>
      </c>
      <c r="B401" t="s">
        <v>639</v>
      </c>
      <c r="C401" t="str">
        <f>dummys!B401</f>
        <v>Piezas de repuestos y accesorios para equipo de transporte</v>
      </c>
      <c r="D401" t="b">
        <f t="shared" si="6"/>
        <v>1</v>
      </c>
    </row>
    <row r="402" spans="1:4" x14ac:dyDescent="0.25">
      <c r="A402">
        <v>7211</v>
      </c>
      <c r="B402" t="s">
        <v>640</v>
      </c>
      <c r="C402" t="str">
        <f>dummys!B402</f>
        <v>Repuestos y accesorios para vehículos</v>
      </c>
      <c r="D402" t="b">
        <f t="shared" si="6"/>
        <v>1</v>
      </c>
    </row>
    <row r="403" spans="1:4" x14ac:dyDescent="0.25">
      <c r="A403">
        <v>721101</v>
      </c>
      <c r="B403" t="s">
        <v>641</v>
      </c>
      <c r="C403" t="str">
        <f>dummys!B403</f>
        <v>Gomas</v>
      </c>
      <c r="D403" t="b">
        <f t="shared" si="6"/>
        <v>1</v>
      </c>
    </row>
    <row r="404" spans="1:4" x14ac:dyDescent="0.25">
      <c r="A404">
        <v>721102</v>
      </c>
      <c r="B404" t="s">
        <v>643</v>
      </c>
      <c r="C404" t="str">
        <f>dummys!B404</f>
        <v>Baterías de vehículo</v>
      </c>
      <c r="D404" t="b">
        <f t="shared" si="6"/>
        <v>1</v>
      </c>
    </row>
    <row r="405" spans="1:4" x14ac:dyDescent="0.25">
      <c r="A405">
        <v>721103</v>
      </c>
      <c r="B405" t="s">
        <v>645</v>
      </c>
      <c r="C405" t="str">
        <f>dummys!B405</f>
        <v>Filtros de vehículo</v>
      </c>
      <c r="D405" t="b">
        <f t="shared" si="6"/>
        <v>1</v>
      </c>
    </row>
    <row r="406" spans="1:4" x14ac:dyDescent="0.25">
      <c r="A406">
        <v>721104</v>
      </c>
      <c r="B406" t="s">
        <v>647</v>
      </c>
      <c r="C406" t="str">
        <f>dummys!B406</f>
        <v>Bujías</v>
      </c>
      <c r="D406" t="b">
        <f t="shared" si="6"/>
        <v>1</v>
      </c>
    </row>
    <row r="407" spans="1:4" x14ac:dyDescent="0.25">
      <c r="A407">
        <v>721105</v>
      </c>
      <c r="B407" t="s">
        <v>649</v>
      </c>
      <c r="C407" t="str">
        <f>dummys!B407</f>
        <v>Banda de frenos</v>
      </c>
      <c r="D407" t="b">
        <f t="shared" si="6"/>
        <v>1</v>
      </c>
    </row>
    <row r="408" spans="1:4" x14ac:dyDescent="0.25">
      <c r="A408">
        <v>722</v>
      </c>
      <c r="B408" t="s">
        <v>651</v>
      </c>
      <c r="C408" t="str">
        <f>dummys!B408</f>
        <v>Combustibles y lubricantes para equipo de transporte</v>
      </c>
      <c r="D408" t="b">
        <f t="shared" si="6"/>
        <v>1</v>
      </c>
    </row>
    <row r="409" spans="1:4" x14ac:dyDescent="0.25">
      <c r="A409">
        <v>7221</v>
      </c>
      <c r="B409" t="s">
        <v>652</v>
      </c>
      <c r="C409" t="str">
        <f>dummys!B409</f>
        <v>Combustibles y lubricantes para vehículos</v>
      </c>
      <c r="D409" t="b">
        <f t="shared" si="6"/>
        <v>1</v>
      </c>
    </row>
    <row r="410" spans="1:4" x14ac:dyDescent="0.25">
      <c r="A410">
        <v>722101</v>
      </c>
      <c r="B410" t="s">
        <v>653</v>
      </c>
      <c r="C410" t="str">
        <f>dummys!B410</f>
        <v>Gasolina regular</v>
      </c>
      <c r="D410" t="b">
        <f t="shared" si="6"/>
        <v>1</v>
      </c>
    </row>
    <row r="411" spans="1:4" x14ac:dyDescent="0.25">
      <c r="A411">
        <v>722102</v>
      </c>
      <c r="B411" t="s">
        <v>655</v>
      </c>
      <c r="C411" t="str">
        <f>dummys!B411</f>
        <v>Gasolina premium</v>
      </c>
      <c r="D411" t="b">
        <f t="shared" si="6"/>
        <v>1</v>
      </c>
    </row>
    <row r="412" spans="1:4" x14ac:dyDescent="0.25">
      <c r="A412">
        <v>722103</v>
      </c>
      <c r="B412" t="s">
        <v>657</v>
      </c>
      <c r="C412" t="str">
        <f>dummys!B412</f>
        <v>Gas licuado para vehículos (GLP)</v>
      </c>
      <c r="D412" t="b">
        <f t="shared" si="6"/>
        <v>1</v>
      </c>
    </row>
    <row r="413" spans="1:4" x14ac:dyDescent="0.25">
      <c r="A413">
        <v>722104</v>
      </c>
      <c r="B413" t="s">
        <v>659</v>
      </c>
      <c r="C413" t="str">
        <f>dummys!B413</f>
        <v>Gasoil</v>
      </c>
      <c r="D413" t="b">
        <f t="shared" si="6"/>
        <v>1</v>
      </c>
    </row>
    <row r="414" spans="1:4" x14ac:dyDescent="0.25">
      <c r="A414">
        <v>722105</v>
      </c>
      <c r="B414" t="s">
        <v>661</v>
      </c>
      <c r="C414" t="str">
        <f>dummys!B414</f>
        <v>Lubricantes y aceites para vehículos</v>
      </c>
      <c r="D414" t="b">
        <f t="shared" si="6"/>
        <v>1</v>
      </c>
    </row>
    <row r="415" spans="1:4" x14ac:dyDescent="0.25">
      <c r="A415">
        <v>723</v>
      </c>
      <c r="B415" t="s">
        <v>663</v>
      </c>
      <c r="C415" t="str">
        <f>dummys!B415</f>
        <v>Conservación y reparación de equipo de transporte</v>
      </c>
      <c r="D415" t="b">
        <f t="shared" si="6"/>
        <v>1</v>
      </c>
    </row>
    <row r="416" spans="1:4" x14ac:dyDescent="0.25">
      <c r="A416">
        <v>7231</v>
      </c>
      <c r="B416" t="s">
        <v>664</v>
      </c>
      <c r="C416" t="str">
        <f>dummys!B416</f>
        <v>Conservación y reparación de vehículos</v>
      </c>
      <c r="D416" t="b">
        <f t="shared" si="6"/>
        <v>1</v>
      </c>
    </row>
    <row r="417" spans="1:4" x14ac:dyDescent="0.25">
      <c r="A417">
        <v>723101</v>
      </c>
      <c r="B417" t="s">
        <v>665</v>
      </c>
      <c r="C417" t="str">
        <f>dummys!B417</f>
        <v>Servicio de reparación de vehículos</v>
      </c>
      <c r="D417" t="b">
        <f t="shared" si="6"/>
        <v>1</v>
      </c>
    </row>
    <row r="418" spans="1:4" x14ac:dyDescent="0.25">
      <c r="A418">
        <v>723102</v>
      </c>
      <c r="B418" t="s">
        <v>667</v>
      </c>
      <c r="C418" t="str">
        <f>dummys!B418</f>
        <v>Lavado del vehículo</v>
      </c>
      <c r="D418" t="b">
        <f t="shared" si="6"/>
        <v>1</v>
      </c>
    </row>
    <row r="419" spans="1:4" x14ac:dyDescent="0.25">
      <c r="A419">
        <v>724</v>
      </c>
      <c r="B419" t="s">
        <v>669</v>
      </c>
      <c r="C419" t="str">
        <f>dummys!B419</f>
        <v>Otros servicios relativos al equipo de transporte</v>
      </c>
      <c r="D419" t="b">
        <f t="shared" si="6"/>
        <v>1</v>
      </c>
    </row>
    <row r="420" spans="1:4" x14ac:dyDescent="0.25">
      <c r="A420">
        <v>7241</v>
      </c>
      <c r="B420" t="s">
        <v>669</v>
      </c>
      <c r="C420" t="str">
        <f>dummys!B420</f>
        <v>Otros servicios relativos al equipo de transporte</v>
      </c>
      <c r="D420" t="b">
        <f t="shared" si="6"/>
        <v>1</v>
      </c>
    </row>
    <row r="421" spans="1:4" x14ac:dyDescent="0.25">
      <c r="A421">
        <v>724101</v>
      </c>
      <c r="B421" t="s">
        <v>670</v>
      </c>
      <c r="C421" t="str">
        <f>dummys!B421</f>
        <v>Peajes</v>
      </c>
      <c r="D421" t="b">
        <f t="shared" si="6"/>
        <v>1</v>
      </c>
    </row>
    <row r="422" spans="1:4" x14ac:dyDescent="0.25">
      <c r="A422">
        <v>724102</v>
      </c>
      <c r="B422" t="s">
        <v>672</v>
      </c>
      <c r="C422" t="str">
        <f>dummys!B422</f>
        <v>Licencia de conducir (renovación)</v>
      </c>
      <c r="D422" t="b">
        <f t="shared" si="6"/>
        <v>1</v>
      </c>
    </row>
    <row r="423" spans="1:4" x14ac:dyDescent="0.25">
      <c r="A423">
        <v>73</v>
      </c>
      <c r="B423" t="s">
        <v>674</v>
      </c>
      <c r="C423" t="str">
        <f>dummys!B423</f>
        <v>Servicios de Transporte</v>
      </c>
      <c r="D423" t="b">
        <f t="shared" si="6"/>
        <v>1</v>
      </c>
    </row>
    <row r="424" spans="1:4" x14ac:dyDescent="0.25">
      <c r="A424">
        <v>732</v>
      </c>
      <c r="B424" t="s">
        <v>675</v>
      </c>
      <c r="C424" t="str">
        <f>dummys!B424</f>
        <v>Transporte de pasajeros por carretera</v>
      </c>
      <c r="D424" t="b">
        <f t="shared" si="6"/>
        <v>1</v>
      </c>
    </row>
    <row r="425" spans="1:4" x14ac:dyDescent="0.25">
      <c r="A425">
        <v>7321</v>
      </c>
      <c r="B425" t="s">
        <v>676</v>
      </c>
      <c r="C425" t="str">
        <f>dummys!B425</f>
        <v>Transporte terrestre urbano</v>
      </c>
      <c r="D425" t="b">
        <f t="shared" si="6"/>
        <v>1</v>
      </c>
    </row>
    <row r="426" spans="1:4" x14ac:dyDescent="0.25">
      <c r="A426">
        <v>732101</v>
      </c>
      <c r="B426" t="s">
        <v>677</v>
      </c>
      <c r="C426" t="str">
        <f>dummys!B426</f>
        <v>Pasaje en carro público</v>
      </c>
      <c r="D426" t="b">
        <f t="shared" si="6"/>
        <v>1</v>
      </c>
    </row>
    <row r="427" spans="1:4" x14ac:dyDescent="0.25">
      <c r="A427">
        <v>732102</v>
      </c>
      <c r="B427" t="s">
        <v>679</v>
      </c>
      <c r="C427" t="str">
        <f>dummys!B427</f>
        <v>Pasaje en motoconcho</v>
      </c>
      <c r="D427" t="b">
        <f t="shared" si="6"/>
        <v>1</v>
      </c>
    </row>
    <row r="428" spans="1:4" x14ac:dyDescent="0.25">
      <c r="A428">
        <v>732103</v>
      </c>
      <c r="B428" t="s">
        <v>681</v>
      </c>
      <c r="C428" t="str">
        <f>dummys!B428</f>
        <v>Pasaje en autobús urbano</v>
      </c>
      <c r="D428" t="b">
        <f t="shared" si="6"/>
        <v>1</v>
      </c>
    </row>
    <row r="429" spans="1:4" x14ac:dyDescent="0.25">
      <c r="A429">
        <v>732104</v>
      </c>
      <c r="B429" t="s">
        <v>683</v>
      </c>
      <c r="C429" t="str">
        <f>dummys!B429</f>
        <v>Servicio de taxi</v>
      </c>
      <c r="D429" t="b">
        <f t="shared" si="6"/>
        <v>1</v>
      </c>
    </row>
    <row r="430" spans="1:4" x14ac:dyDescent="0.25">
      <c r="A430">
        <v>732105</v>
      </c>
      <c r="B430" t="s">
        <v>685</v>
      </c>
      <c r="C430" t="str">
        <f>dummys!B430</f>
        <v>Transporte escolar</v>
      </c>
      <c r="D430" t="b">
        <f t="shared" si="6"/>
        <v>1</v>
      </c>
    </row>
    <row r="431" spans="1:4" x14ac:dyDescent="0.25">
      <c r="A431">
        <v>732106</v>
      </c>
      <c r="B431" t="s">
        <v>687</v>
      </c>
      <c r="C431" t="str">
        <f>dummys!B431</f>
        <v>Metro</v>
      </c>
      <c r="D431" t="b">
        <f t="shared" si="6"/>
        <v>1</v>
      </c>
    </row>
    <row r="432" spans="1:4" x14ac:dyDescent="0.25">
      <c r="A432">
        <v>7322</v>
      </c>
      <c r="B432" t="s">
        <v>689</v>
      </c>
      <c r="C432" t="str">
        <f>dummys!B432</f>
        <v>Transporte terrestre interurbano</v>
      </c>
      <c r="D432" t="b">
        <f t="shared" si="6"/>
        <v>1</v>
      </c>
    </row>
    <row r="433" spans="1:4" x14ac:dyDescent="0.25">
      <c r="A433">
        <v>732201</v>
      </c>
      <c r="B433" t="s">
        <v>690</v>
      </c>
      <c r="C433" t="str">
        <f>dummys!B433</f>
        <v>Pasaje en guaguas sindicalizadas</v>
      </c>
      <c r="D433" t="b">
        <f t="shared" si="6"/>
        <v>1</v>
      </c>
    </row>
    <row r="434" spans="1:4" x14ac:dyDescent="0.25">
      <c r="A434">
        <v>732202</v>
      </c>
      <c r="B434" t="s">
        <v>1556</v>
      </c>
      <c r="C434" t="str">
        <f>dummys!B434</f>
        <v>Pasajes en guaguas (Metro, Caribe Tours...)</v>
      </c>
      <c r="D434" t="b">
        <f t="shared" si="6"/>
        <v>0</v>
      </c>
    </row>
    <row r="435" spans="1:4" x14ac:dyDescent="0.25">
      <c r="A435">
        <v>732203</v>
      </c>
      <c r="B435" t="s">
        <v>694</v>
      </c>
      <c r="C435" t="str">
        <f>dummys!B435</f>
        <v>Pasaje interurbano en camioneta</v>
      </c>
      <c r="D435" t="b">
        <f t="shared" si="6"/>
        <v>1</v>
      </c>
    </row>
    <row r="436" spans="1:4" x14ac:dyDescent="0.25">
      <c r="A436">
        <v>733</v>
      </c>
      <c r="B436" t="s">
        <v>696</v>
      </c>
      <c r="C436" t="str">
        <f>dummys!B436</f>
        <v>Transporte de pasajeros por aire</v>
      </c>
      <c r="D436" t="b">
        <f t="shared" si="6"/>
        <v>1</v>
      </c>
    </row>
    <row r="437" spans="1:4" x14ac:dyDescent="0.25">
      <c r="A437">
        <v>7331</v>
      </c>
      <c r="B437" t="s">
        <v>697</v>
      </c>
      <c r="C437" t="str">
        <f>dummys!B437</f>
        <v>Transporte aéreo</v>
      </c>
      <c r="D437" t="b">
        <f t="shared" si="6"/>
        <v>1</v>
      </c>
    </row>
    <row r="438" spans="1:4" x14ac:dyDescent="0.25">
      <c r="A438">
        <v>733101</v>
      </c>
      <c r="B438" t="s">
        <v>698</v>
      </c>
      <c r="C438" t="str">
        <f>dummys!B438</f>
        <v>Pasaje al exterior</v>
      </c>
      <c r="D438" t="b">
        <f t="shared" si="6"/>
        <v>1</v>
      </c>
    </row>
    <row r="439" spans="1:4" x14ac:dyDescent="0.25">
      <c r="A439">
        <v>8</v>
      </c>
      <c r="B439" t="s">
        <v>700</v>
      </c>
      <c r="C439" t="str">
        <f>dummys!B439</f>
        <v>Comunicaciones</v>
      </c>
      <c r="D439" t="b">
        <f t="shared" si="6"/>
        <v>1</v>
      </c>
    </row>
    <row r="440" spans="1:4" x14ac:dyDescent="0.25">
      <c r="A440">
        <v>82</v>
      </c>
      <c r="B440" t="s">
        <v>701</v>
      </c>
      <c r="C440" t="str">
        <f>dummys!B440</f>
        <v>Equipos Telefónicos</v>
      </c>
      <c r="D440" t="b">
        <f t="shared" si="6"/>
        <v>1</v>
      </c>
    </row>
    <row r="441" spans="1:4" x14ac:dyDescent="0.25">
      <c r="A441">
        <v>821</v>
      </c>
      <c r="B441" t="s">
        <v>701</v>
      </c>
      <c r="C441" t="str">
        <f>dummys!B441</f>
        <v>Equipos Telefónicos</v>
      </c>
      <c r="D441" t="b">
        <f t="shared" si="6"/>
        <v>1</v>
      </c>
    </row>
    <row r="442" spans="1:4" x14ac:dyDescent="0.25">
      <c r="A442">
        <v>8211</v>
      </c>
      <c r="B442" t="s">
        <v>701</v>
      </c>
      <c r="C442" t="str">
        <f>dummys!B442</f>
        <v>Equipos Telefónicos</v>
      </c>
      <c r="D442" t="b">
        <f t="shared" si="6"/>
        <v>1</v>
      </c>
    </row>
    <row r="443" spans="1:4" x14ac:dyDescent="0.25">
      <c r="A443">
        <v>821101</v>
      </c>
      <c r="B443" t="s">
        <v>702</v>
      </c>
      <c r="C443" t="str">
        <f>dummys!B443</f>
        <v>Equipo telefónico celular</v>
      </c>
      <c r="D443" t="b">
        <f t="shared" si="6"/>
        <v>1</v>
      </c>
    </row>
    <row r="444" spans="1:4" x14ac:dyDescent="0.25">
      <c r="A444">
        <v>83</v>
      </c>
      <c r="B444" t="s">
        <v>704</v>
      </c>
      <c r="C444" t="str">
        <f>dummys!B444</f>
        <v>Servicios Telefónicos</v>
      </c>
      <c r="D444" t="b">
        <f t="shared" si="6"/>
        <v>1</v>
      </c>
    </row>
    <row r="445" spans="1:4" x14ac:dyDescent="0.25">
      <c r="A445">
        <v>831</v>
      </c>
      <c r="B445" t="s">
        <v>705</v>
      </c>
      <c r="C445" t="str">
        <f>dummys!B445</f>
        <v>Servicios telefónicos</v>
      </c>
      <c r="D445" t="b">
        <f t="shared" si="6"/>
        <v>1</v>
      </c>
    </row>
    <row r="446" spans="1:4" x14ac:dyDescent="0.25">
      <c r="A446">
        <v>8311</v>
      </c>
      <c r="B446" t="s">
        <v>706</v>
      </c>
      <c r="C446" t="str">
        <f>dummys!B446</f>
        <v>Servicios de telefonía fija</v>
      </c>
      <c r="D446" t="b">
        <f t="shared" si="6"/>
        <v>1</v>
      </c>
    </row>
    <row r="447" spans="1:4" x14ac:dyDescent="0.25">
      <c r="A447">
        <v>831101</v>
      </c>
      <c r="B447" t="s">
        <v>707</v>
      </c>
      <c r="C447" t="str">
        <f>dummys!B447</f>
        <v>Servicio telefónico fijo</v>
      </c>
      <c r="D447" t="b">
        <f t="shared" si="6"/>
        <v>1</v>
      </c>
    </row>
    <row r="448" spans="1:4" x14ac:dyDescent="0.25">
      <c r="A448">
        <v>831102</v>
      </c>
      <c r="B448" t="s">
        <v>709</v>
      </c>
      <c r="C448" t="str">
        <f>dummys!B448</f>
        <v>Servicio de internet</v>
      </c>
      <c r="D448" t="b">
        <f t="shared" si="6"/>
        <v>1</v>
      </c>
    </row>
    <row r="449" spans="1:4" x14ac:dyDescent="0.25">
      <c r="A449">
        <v>831104</v>
      </c>
      <c r="B449" t="s">
        <v>711</v>
      </c>
      <c r="C449" t="str">
        <f>dummys!B449</f>
        <v>Servicios combinados de telefonía, televisión pagada e internet</v>
      </c>
      <c r="D449" t="b">
        <f t="shared" si="6"/>
        <v>1</v>
      </c>
    </row>
    <row r="450" spans="1:4" x14ac:dyDescent="0.25">
      <c r="A450">
        <v>8312</v>
      </c>
      <c r="B450" t="s">
        <v>713</v>
      </c>
      <c r="C450" t="str">
        <f>dummys!B450</f>
        <v>Servicios de telefonía celular</v>
      </c>
      <c r="D450" t="b">
        <f t="shared" si="6"/>
        <v>1</v>
      </c>
    </row>
    <row r="451" spans="1:4" x14ac:dyDescent="0.25">
      <c r="A451">
        <v>831201</v>
      </c>
      <c r="B451" t="s">
        <v>713</v>
      </c>
      <c r="C451" t="str">
        <f>dummys!B451</f>
        <v>Servicios de telefonía celular</v>
      </c>
      <c r="D451" t="b">
        <f t="shared" ref="D451:D514" si="7">C451=B451</f>
        <v>1</v>
      </c>
    </row>
    <row r="452" spans="1:4" x14ac:dyDescent="0.25">
      <c r="A452">
        <v>9</v>
      </c>
      <c r="B452" t="s">
        <v>715</v>
      </c>
      <c r="C452" t="str">
        <f>dummys!B452</f>
        <v>Recreación y Cultura</v>
      </c>
      <c r="D452" t="b">
        <f t="shared" si="7"/>
        <v>1</v>
      </c>
    </row>
    <row r="453" spans="1:4" x14ac:dyDescent="0.25">
      <c r="A453">
        <v>91</v>
      </c>
      <c r="B453" t="s">
        <v>716</v>
      </c>
      <c r="C453" t="str">
        <f>dummys!B453</f>
        <v>Equipo Audiovisual  y de Procesamiento de Información</v>
      </c>
      <c r="D453" t="b">
        <f t="shared" si="7"/>
        <v>1</v>
      </c>
    </row>
    <row r="454" spans="1:4" x14ac:dyDescent="0.25">
      <c r="A454">
        <v>911</v>
      </c>
      <c r="B454" t="s">
        <v>717</v>
      </c>
      <c r="C454" t="str">
        <f>dummys!B454</f>
        <v>Equipo para la recepción, grabación, y reproducción de sonidos e imágenes</v>
      </c>
      <c r="D454" t="b">
        <f t="shared" si="7"/>
        <v>1</v>
      </c>
    </row>
    <row r="455" spans="1:4" x14ac:dyDescent="0.25">
      <c r="A455">
        <v>9111</v>
      </c>
      <c r="B455" t="s">
        <v>718</v>
      </c>
      <c r="C455" t="str">
        <f>dummys!B455</f>
        <v>Equipos de audio y video</v>
      </c>
      <c r="D455" t="b">
        <f t="shared" si="7"/>
        <v>1</v>
      </c>
    </row>
    <row r="456" spans="1:4" x14ac:dyDescent="0.25">
      <c r="A456">
        <v>911101</v>
      </c>
      <c r="B456" t="s">
        <v>719</v>
      </c>
      <c r="C456" t="str">
        <f>dummys!B456</f>
        <v>Televisor</v>
      </c>
      <c r="D456" t="b">
        <f t="shared" si="7"/>
        <v>1</v>
      </c>
    </row>
    <row r="457" spans="1:4" x14ac:dyDescent="0.25">
      <c r="A457">
        <v>911104</v>
      </c>
      <c r="B457" t="s">
        <v>721</v>
      </c>
      <c r="C457" t="str">
        <f>dummys!B457</f>
        <v>Accesorios para equipos de  sonido</v>
      </c>
      <c r="D457" t="b">
        <f t="shared" si="7"/>
        <v>1</v>
      </c>
    </row>
    <row r="458" spans="1:4" x14ac:dyDescent="0.25">
      <c r="A458">
        <v>913</v>
      </c>
      <c r="B458" t="s">
        <v>723</v>
      </c>
      <c r="C458" t="str">
        <f>dummys!B458</f>
        <v>Equipo de procesamiento</v>
      </c>
      <c r="D458" t="b">
        <f t="shared" si="7"/>
        <v>1</v>
      </c>
    </row>
    <row r="459" spans="1:4" x14ac:dyDescent="0.25">
      <c r="A459">
        <v>9131</v>
      </c>
      <c r="B459" t="s">
        <v>723</v>
      </c>
      <c r="C459" t="str">
        <f>dummys!B459</f>
        <v>Equipo de procesamiento</v>
      </c>
      <c r="D459" t="b">
        <f t="shared" si="7"/>
        <v>1</v>
      </c>
    </row>
    <row r="460" spans="1:4" x14ac:dyDescent="0.25">
      <c r="A460">
        <v>913101</v>
      </c>
      <c r="B460" t="s">
        <v>724</v>
      </c>
      <c r="C460" t="str">
        <f>dummys!B460</f>
        <v>Computadoras y tablets</v>
      </c>
      <c r="D460" t="b">
        <f t="shared" si="7"/>
        <v>1</v>
      </c>
    </row>
    <row r="461" spans="1:4" x14ac:dyDescent="0.25">
      <c r="A461">
        <v>93</v>
      </c>
      <c r="B461" t="s">
        <v>726</v>
      </c>
      <c r="C461" t="str">
        <f>dummys!B461</f>
        <v>Otros Artículos y Equipo para Recreación y Animales Domésticos</v>
      </c>
      <c r="D461" t="b">
        <f t="shared" si="7"/>
        <v>1</v>
      </c>
    </row>
    <row r="462" spans="1:4" x14ac:dyDescent="0.25">
      <c r="A462">
        <v>931</v>
      </c>
      <c r="B462" t="s">
        <v>727</v>
      </c>
      <c r="C462" t="str">
        <f>dummys!B462</f>
        <v>Juegos y juguetes</v>
      </c>
      <c r="D462" t="b">
        <f t="shared" si="7"/>
        <v>1</v>
      </c>
    </row>
    <row r="463" spans="1:4" x14ac:dyDescent="0.25">
      <c r="A463">
        <v>9311</v>
      </c>
      <c r="B463" t="s">
        <v>727</v>
      </c>
      <c r="C463" t="str">
        <f>dummys!B463</f>
        <v>Juegos y juguetes</v>
      </c>
      <c r="D463" t="b">
        <f t="shared" si="7"/>
        <v>1</v>
      </c>
    </row>
    <row r="464" spans="1:4" x14ac:dyDescent="0.25">
      <c r="A464">
        <v>931101</v>
      </c>
      <c r="B464" t="s">
        <v>728</v>
      </c>
      <c r="C464" t="str">
        <f>dummys!B464</f>
        <v>Juguetes</v>
      </c>
      <c r="D464" t="b">
        <f t="shared" si="7"/>
        <v>1</v>
      </c>
    </row>
    <row r="465" spans="1:4" x14ac:dyDescent="0.25">
      <c r="A465">
        <v>932</v>
      </c>
      <c r="B465" t="s">
        <v>730</v>
      </c>
      <c r="C465" t="str">
        <f>dummys!B465</f>
        <v>Equipo de deportes y recreación al aire libre</v>
      </c>
      <c r="D465" t="b">
        <f t="shared" si="7"/>
        <v>1</v>
      </c>
    </row>
    <row r="466" spans="1:4" x14ac:dyDescent="0.25">
      <c r="A466">
        <v>9321</v>
      </c>
      <c r="B466" t="s">
        <v>731</v>
      </c>
      <c r="C466" t="str">
        <f>dummys!B466</f>
        <v>Equipos de deporte y recreación</v>
      </c>
      <c r="D466" t="b">
        <f t="shared" si="7"/>
        <v>1</v>
      </c>
    </row>
    <row r="467" spans="1:4" x14ac:dyDescent="0.25">
      <c r="A467">
        <v>932102</v>
      </c>
      <c r="B467" t="s">
        <v>732</v>
      </c>
      <c r="C467" t="str">
        <f>dummys!B467</f>
        <v>Equipos para deportes</v>
      </c>
      <c r="D467" t="b">
        <f t="shared" si="7"/>
        <v>1</v>
      </c>
    </row>
    <row r="468" spans="1:4" x14ac:dyDescent="0.25">
      <c r="A468">
        <v>934</v>
      </c>
      <c r="B468" t="s">
        <v>734</v>
      </c>
      <c r="C468" t="str">
        <f>dummys!B468</f>
        <v>Animales domésticos</v>
      </c>
      <c r="D468" t="b">
        <f t="shared" si="7"/>
        <v>1</v>
      </c>
    </row>
    <row r="469" spans="1:4" x14ac:dyDescent="0.25">
      <c r="A469">
        <v>9341</v>
      </c>
      <c r="B469" t="s">
        <v>735</v>
      </c>
      <c r="C469" t="str">
        <f>dummys!B469</f>
        <v>Animales domésticos y productos conexos</v>
      </c>
      <c r="D469" t="b">
        <f t="shared" si="7"/>
        <v>1</v>
      </c>
    </row>
    <row r="470" spans="1:4" x14ac:dyDescent="0.25">
      <c r="A470">
        <v>934101</v>
      </c>
      <c r="B470" t="s">
        <v>736</v>
      </c>
      <c r="C470" t="str">
        <f>dummys!B470</f>
        <v>Alimentos para animales domésticos</v>
      </c>
      <c r="D470" t="b">
        <f t="shared" si="7"/>
        <v>1</v>
      </c>
    </row>
    <row r="471" spans="1:4" x14ac:dyDescent="0.25">
      <c r="A471">
        <v>934102</v>
      </c>
      <c r="B471" t="s">
        <v>738</v>
      </c>
      <c r="C471" t="str">
        <f>dummys!B471</f>
        <v>Productos para cuidado de mascotas</v>
      </c>
      <c r="D471" t="b">
        <f t="shared" si="7"/>
        <v>1</v>
      </c>
    </row>
    <row r="472" spans="1:4" x14ac:dyDescent="0.25">
      <c r="A472">
        <v>935</v>
      </c>
      <c r="B472" t="s">
        <v>740</v>
      </c>
      <c r="C472" t="str">
        <f>dummys!B472</f>
        <v>Servicios de veterinaria y de otros tipos de animales domésticos</v>
      </c>
      <c r="D472" t="b">
        <f t="shared" si="7"/>
        <v>1</v>
      </c>
    </row>
    <row r="473" spans="1:4" x14ac:dyDescent="0.25">
      <c r="A473">
        <v>9351</v>
      </c>
      <c r="B473" t="s">
        <v>740</v>
      </c>
      <c r="C473" t="str">
        <f>dummys!B473</f>
        <v>Servicios de veterinaria y de otros tipos de animales domésticos</v>
      </c>
      <c r="D473" t="b">
        <f t="shared" si="7"/>
        <v>1</v>
      </c>
    </row>
    <row r="474" spans="1:4" x14ac:dyDescent="0.25">
      <c r="A474">
        <v>935101</v>
      </c>
      <c r="B474" t="s">
        <v>741</v>
      </c>
      <c r="C474" t="str">
        <f>dummys!B474</f>
        <v>Servicios de veterinaria para animales domésticos</v>
      </c>
      <c r="D474" t="b">
        <f t="shared" si="7"/>
        <v>1</v>
      </c>
    </row>
    <row r="475" spans="1:4" x14ac:dyDescent="0.25">
      <c r="A475">
        <v>94</v>
      </c>
      <c r="B475" t="s">
        <v>743</v>
      </c>
      <c r="C475" t="str">
        <f>dummys!B475</f>
        <v>Servicios de Recreación y Culturales</v>
      </c>
      <c r="D475" t="b">
        <f t="shared" si="7"/>
        <v>1</v>
      </c>
    </row>
    <row r="476" spans="1:4" x14ac:dyDescent="0.25">
      <c r="A476">
        <v>941</v>
      </c>
      <c r="B476" t="s">
        <v>744</v>
      </c>
      <c r="C476" t="str">
        <f>dummys!B476</f>
        <v>Servicios de recreación y deportivos</v>
      </c>
      <c r="D476" t="b">
        <f t="shared" si="7"/>
        <v>1</v>
      </c>
    </row>
    <row r="477" spans="1:4" x14ac:dyDescent="0.25">
      <c r="A477">
        <v>9411</v>
      </c>
      <c r="B477" t="s">
        <v>745</v>
      </c>
      <c r="C477" t="str">
        <f>dummys!B477</f>
        <v>Servicio de recreación y deporte</v>
      </c>
      <c r="D477" t="b">
        <f t="shared" si="7"/>
        <v>1</v>
      </c>
    </row>
    <row r="478" spans="1:4" x14ac:dyDescent="0.25">
      <c r="A478">
        <v>941101</v>
      </c>
      <c r="B478" t="s">
        <v>746</v>
      </c>
      <c r="C478" t="str">
        <f>dummys!B478</f>
        <v>Cuota de gimnasio</v>
      </c>
      <c r="D478" t="b">
        <f t="shared" si="7"/>
        <v>1</v>
      </c>
    </row>
    <row r="479" spans="1:4" x14ac:dyDescent="0.25">
      <c r="A479">
        <v>942</v>
      </c>
      <c r="B479" t="s">
        <v>748</v>
      </c>
      <c r="C479" t="str">
        <f>dummys!B479</f>
        <v>Servicios culturales</v>
      </c>
      <c r="D479" t="b">
        <f t="shared" si="7"/>
        <v>1</v>
      </c>
    </row>
    <row r="480" spans="1:4" x14ac:dyDescent="0.25">
      <c r="A480">
        <v>9421</v>
      </c>
      <c r="B480" t="s">
        <v>749</v>
      </c>
      <c r="C480" t="str">
        <f>dummys!B480</f>
        <v>Servicio de cultura</v>
      </c>
      <c r="D480" t="b">
        <f t="shared" si="7"/>
        <v>1</v>
      </c>
    </row>
    <row r="481" spans="1:4" x14ac:dyDescent="0.25">
      <c r="A481">
        <v>942101</v>
      </c>
      <c r="B481" t="s">
        <v>750</v>
      </c>
      <c r="C481" t="str">
        <f>dummys!B481</f>
        <v>Televisión por suscripción</v>
      </c>
      <c r="D481" t="b">
        <f t="shared" si="7"/>
        <v>1</v>
      </c>
    </row>
    <row r="482" spans="1:4" x14ac:dyDescent="0.25">
      <c r="A482">
        <v>942103</v>
      </c>
      <c r="B482" t="s">
        <v>752</v>
      </c>
      <c r="C482" t="str">
        <f>dummys!B482</f>
        <v>Cine</v>
      </c>
      <c r="D482" t="b">
        <f t="shared" si="7"/>
        <v>1</v>
      </c>
    </row>
    <row r="483" spans="1:4" x14ac:dyDescent="0.25">
      <c r="A483">
        <v>943</v>
      </c>
      <c r="B483" t="s">
        <v>754</v>
      </c>
      <c r="C483" t="str">
        <f>dummys!B483</f>
        <v>Juegos de azar</v>
      </c>
      <c r="D483" t="b">
        <f t="shared" si="7"/>
        <v>1</v>
      </c>
    </row>
    <row r="484" spans="1:4" x14ac:dyDescent="0.25">
      <c r="A484">
        <v>9431</v>
      </c>
      <c r="B484" t="s">
        <v>754</v>
      </c>
      <c r="C484" t="str">
        <f>dummys!B484</f>
        <v>Juegos de azar</v>
      </c>
      <c r="D484" t="b">
        <f t="shared" si="7"/>
        <v>1</v>
      </c>
    </row>
    <row r="485" spans="1:4" x14ac:dyDescent="0.25">
      <c r="A485">
        <v>943101</v>
      </c>
      <c r="B485" t="s">
        <v>755</v>
      </c>
      <c r="C485" t="str">
        <f>dummys!B485</f>
        <v>Loterias</v>
      </c>
      <c r="D485" t="b">
        <f t="shared" si="7"/>
        <v>1</v>
      </c>
    </row>
    <row r="486" spans="1:4" x14ac:dyDescent="0.25">
      <c r="A486">
        <v>95</v>
      </c>
      <c r="B486" t="s">
        <v>757</v>
      </c>
      <c r="C486" t="str">
        <f>dummys!B486</f>
        <v>Periódicos, Libros y Papeles y Útiles de Oficina</v>
      </c>
      <c r="D486" t="b">
        <f t="shared" si="7"/>
        <v>1</v>
      </c>
    </row>
    <row r="487" spans="1:4" x14ac:dyDescent="0.25">
      <c r="A487">
        <v>951</v>
      </c>
      <c r="B487" t="s">
        <v>758</v>
      </c>
      <c r="C487" t="str">
        <f>dummys!B487</f>
        <v>Libros</v>
      </c>
      <c r="D487" t="b">
        <f t="shared" si="7"/>
        <v>1</v>
      </c>
    </row>
    <row r="488" spans="1:4" x14ac:dyDescent="0.25">
      <c r="A488">
        <v>9511</v>
      </c>
      <c r="B488" t="s">
        <v>758</v>
      </c>
      <c r="C488" t="str">
        <f>dummys!B488</f>
        <v>Libros</v>
      </c>
      <c r="D488" t="b">
        <f t="shared" si="7"/>
        <v>1</v>
      </c>
    </row>
    <row r="489" spans="1:4" x14ac:dyDescent="0.25">
      <c r="A489">
        <v>951101</v>
      </c>
      <c r="B489" t="s">
        <v>759</v>
      </c>
      <c r="C489" t="str">
        <f>dummys!B489</f>
        <v>Libros escolares</v>
      </c>
      <c r="D489" t="b">
        <f t="shared" si="7"/>
        <v>1</v>
      </c>
    </row>
    <row r="490" spans="1:4" x14ac:dyDescent="0.25">
      <c r="A490">
        <v>951102</v>
      </c>
      <c r="B490" t="s">
        <v>761</v>
      </c>
      <c r="C490" t="str">
        <f>dummys!B490</f>
        <v>Textos universitarios</v>
      </c>
      <c r="D490" t="b">
        <f t="shared" si="7"/>
        <v>1</v>
      </c>
    </row>
    <row r="491" spans="1:4" x14ac:dyDescent="0.25">
      <c r="A491">
        <v>954</v>
      </c>
      <c r="B491" t="s">
        <v>763</v>
      </c>
      <c r="C491" t="str">
        <f>dummys!B491</f>
        <v>Papel y útiles de oficina</v>
      </c>
      <c r="D491" t="b">
        <f t="shared" si="7"/>
        <v>1</v>
      </c>
    </row>
    <row r="492" spans="1:4" x14ac:dyDescent="0.25">
      <c r="A492">
        <v>9541</v>
      </c>
      <c r="B492" t="s">
        <v>763</v>
      </c>
      <c r="C492" t="str">
        <f>dummys!B492</f>
        <v>Papel y útiles de oficina</v>
      </c>
      <c r="D492" t="b">
        <f t="shared" si="7"/>
        <v>1</v>
      </c>
    </row>
    <row r="493" spans="1:4" x14ac:dyDescent="0.25">
      <c r="A493">
        <v>954101</v>
      </c>
      <c r="B493" t="s">
        <v>764</v>
      </c>
      <c r="C493" t="str">
        <f>dummys!B493</f>
        <v>Cuadernos</v>
      </c>
      <c r="D493" t="b">
        <f t="shared" si="7"/>
        <v>1</v>
      </c>
    </row>
    <row r="494" spans="1:4" x14ac:dyDescent="0.25">
      <c r="A494">
        <v>954102</v>
      </c>
      <c r="B494" t="s">
        <v>766</v>
      </c>
      <c r="C494" t="str">
        <f>dummys!B494</f>
        <v>Lápiz</v>
      </c>
      <c r="D494" t="b">
        <f t="shared" si="7"/>
        <v>1</v>
      </c>
    </row>
    <row r="495" spans="1:4" x14ac:dyDescent="0.25">
      <c r="A495">
        <v>954103</v>
      </c>
      <c r="B495" t="s">
        <v>768</v>
      </c>
      <c r="C495" t="str">
        <f>dummys!B495</f>
        <v>Goma de borrar</v>
      </c>
      <c r="D495" t="b">
        <f t="shared" si="7"/>
        <v>1</v>
      </c>
    </row>
    <row r="496" spans="1:4" x14ac:dyDescent="0.25">
      <c r="A496">
        <v>954104</v>
      </c>
      <c r="B496" t="s">
        <v>770</v>
      </c>
      <c r="C496" t="str">
        <f>dummys!B496</f>
        <v>Resma de papel blanco 8.5" x 11"</v>
      </c>
      <c r="D496" t="b">
        <f t="shared" si="7"/>
        <v>1</v>
      </c>
    </row>
    <row r="497" spans="1:4" x14ac:dyDescent="0.25">
      <c r="A497">
        <v>96</v>
      </c>
      <c r="B497" t="s">
        <v>772</v>
      </c>
      <c r="C497" t="str">
        <f>dummys!B497</f>
        <v>Paquetes Turísticos</v>
      </c>
      <c r="D497" t="b">
        <f t="shared" si="7"/>
        <v>1</v>
      </c>
    </row>
    <row r="498" spans="1:4" x14ac:dyDescent="0.25">
      <c r="A498">
        <v>961</v>
      </c>
      <c r="B498" t="s">
        <v>773</v>
      </c>
      <c r="C498" t="str">
        <f>dummys!B498</f>
        <v>Paquetes turísticos</v>
      </c>
      <c r="D498" t="b">
        <f t="shared" si="7"/>
        <v>1</v>
      </c>
    </row>
    <row r="499" spans="1:4" x14ac:dyDescent="0.25">
      <c r="A499">
        <v>9611</v>
      </c>
      <c r="B499" t="s">
        <v>773</v>
      </c>
      <c r="C499" t="str">
        <f>dummys!B499</f>
        <v>Paquetes turísticos</v>
      </c>
      <c r="D499" t="b">
        <f t="shared" si="7"/>
        <v>1</v>
      </c>
    </row>
    <row r="500" spans="1:4" x14ac:dyDescent="0.25">
      <c r="A500">
        <v>961101</v>
      </c>
      <c r="B500" t="s">
        <v>773</v>
      </c>
      <c r="C500" t="str">
        <f>dummys!B500</f>
        <v>Paquetes turísticos</v>
      </c>
      <c r="D500" t="b">
        <f t="shared" si="7"/>
        <v>1</v>
      </c>
    </row>
    <row r="501" spans="1:4" x14ac:dyDescent="0.25">
      <c r="A501">
        <v>10</v>
      </c>
      <c r="B501" t="s">
        <v>775</v>
      </c>
      <c r="C501" t="str">
        <f>dummys!B501</f>
        <v>Educación</v>
      </c>
      <c r="D501" t="b">
        <f t="shared" si="7"/>
        <v>1</v>
      </c>
    </row>
    <row r="502" spans="1:4" x14ac:dyDescent="0.25">
      <c r="A502">
        <v>101</v>
      </c>
      <c r="B502" t="s">
        <v>776</v>
      </c>
      <c r="C502" t="str">
        <f>dummys!B502</f>
        <v>Enseñanza Preescolar y Enseñanza Primaria</v>
      </c>
      <c r="D502" t="b">
        <f t="shared" si="7"/>
        <v>1</v>
      </c>
    </row>
    <row r="503" spans="1:4" x14ac:dyDescent="0.25">
      <c r="A503">
        <v>1011</v>
      </c>
      <c r="B503" t="s">
        <v>777</v>
      </c>
      <c r="C503" t="str">
        <f>dummys!B503</f>
        <v>Enseñanza preescolar y enseñanza primaria</v>
      </c>
      <c r="D503" t="b">
        <f t="shared" si="7"/>
        <v>1</v>
      </c>
    </row>
    <row r="504" spans="1:4" x14ac:dyDescent="0.25">
      <c r="A504">
        <v>10111</v>
      </c>
      <c r="B504" t="s">
        <v>778</v>
      </c>
      <c r="C504" t="str">
        <f>dummys!B504</f>
        <v>Enseñanza preescolar</v>
      </c>
      <c r="D504" t="b">
        <f t="shared" si="7"/>
        <v>1</v>
      </c>
    </row>
    <row r="505" spans="1:4" x14ac:dyDescent="0.25">
      <c r="A505">
        <v>1011101</v>
      </c>
      <c r="B505" t="s">
        <v>778</v>
      </c>
      <c r="C505" t="str">
        <f>dummys!B505</f>
        <v>Enseñanza preescolar</v>
      </c>
      <c r="D505" t="b">
        <f t="shared" si="7"/>
        <v>1</v>
      </c>
    </row>
    <row r="506" spans="1:4" x14ac:dyDescent="0.25">
      <c r="A506">
        <v>10112</v>
      </c>
      <c r="B506" t="s">
        <v>780</v>
      </c>
      <c r="C506" t="str">
        <f>dummys!B506</f>
        <v>Enseñanza primaria</v>
      </c>
      <c r="D506" t="b">
        <f t="shared" si="7"/>
        <v>1</v>
      </c>
    </row>
    <row r="507" spans="1:4" x14ac:dyDescent="0.25">
      <c r="A507">
        <v>1011201</v>
      </c>
      <c r="B507" t="s">
        <v>780</v>
      </c>
      <c r="C507" t="str">
        <f>dummys!B507</f>
        <v>Enseñanza primaria</v>
      </c>
      <c r="D507" t="b">
        <f t="shared" si="7"/>
        <v>1</v>
      </c>
    </row>
    <row r="508" spans="1:4" x14ac:dyDescent="0.25">
      <c r="A508">
        <v>102</v>
      </c>
      <c r="B508" t="s">
        <v>782</v>
      </c>
      <c r="C508" t="str">
        <f>dummys!B508</f>
        <v>Enseñanza Secundaria</v>
      </c>
      <c r="D508" t="b">
        <f t="shared" si="7"/>
        <v>1</v>
      </c>
    </row>
    <row r="509" spans="1:4" x14ac:dyDescent="0.25">
      <c r="A509">
        <v>1021</v>
      </c>
      <c r="B509" t="s">
        <v>783</v>
      </c>
      <c r="C509" t="str">
        <f>dummys!B509</f>
        <v>Enseñanza secundaria</v>
      </c>
      <c r="D509" t="b">
        <f t="shared" si="7"/>
        <v>1</v>
      </c>
    </row>
    <row r="510" spans="1:4" x14ac:dyDescent="0.25">
      <c r="A510">
        <v>10211</v>
      </c>
      <c r="B510" t="s">
        <v>783</v>
      </c>
      <c r="C510" t="str">
        <f>dummys!B510</f>
        <v>Enseñanza secundaria</v>
      </c>
      <c r="D510" t="b">
        <f t="shared" si="7"/>
        <v>1</v>
      </c>
    </row>
    <row r="511" spans="1:4" x14ac:dyDescent="0.25">
      <c r="A511">
        <v>1021101</v>
      </c>
      <c r="B511" t="s">
        <v>783</v>
      </c>
      <c r="C511" t="str">
        <f>dummys!B511</f>
        <v>Enseñanza secundaria</v>
      </c>
      <c r="D511" t="b">
        <f t="shared" si="7"/>
        <v>1</v>
      </c>
    </row>
    <row r="512" spans="1:4" x14ac:dyDescent="0.25">
      <c r="A512">
        <v>104</v>
      </c>
      <c r="B512" t="s">
        <v>785</v>
      </c>
      <c r="C512" t="str">
        <f>dummys!B512</f>
        <v>Enseñanza Terciaria</v>
      </c>
      <c r="D512" t="b">
        <f t="shared" si="7"/>
        <v>1</v>
      </c>
    </row>
    <row r="513" spans="1:4" x14ac:dyDescent="0.25">
      <c r="A513">
        <v>1041</v>
      </c>
      <c r="B513" t="s">
        <v>786</v>
      </c>
      <c r="C513" t="str">
        <f>dummys!B513</f>
        <v>Enseñanza terciaria</v>
      </c>
      <c r="D513" t="b">
        <f t="shared" si="7"/>
        <v>1</v>
      </c>
    </row>
    <row r="514" spans="1:4" x14ac:dyDescent="0.25">
      <c r="A514">
        <v>10411</v>
      </c>
      <c r="B514" t="s">
        <v>787</v>
      </c>
      <c r="C514" t="str">
        <f>dummys!B514</f>
        <v>Enseñanza universitaria</v>
      </c>
      <c r="D514" t="b">
        <f t="shared" si="7"/>
        <v>1</v>
      </c>
    </row>
    <row r="515" spans="1:4" x14ac:dyDescent="0.25">
      <c r="A515">
        <v>1041101</v>
      </c>
      <c r="B515" t="s">
        <v>787</v>
      </c>
      <c r="C515" t="str">
        <f>dummys!B515</f>
        <v>Enseñanza universitaria</v>
      </c>
      <c r="D515" t="b">
        <f t="shared" ref="D515:D578" si="8">C515=B515</f>
        <v>1</v>
      </c>
    </row>
    <row r="516" spans="1:4" x14ac:dyDescent="0.25">
      <c r="A516">
        <v>105</v>
      </c>
      <c r="B516" t="s">
        <v>789</v>
      </c>
      <c r="C516" t="str">
        <f>dummys!B516</f>
        <v>Enseñanza no Atribuible a Ningún Nivel</v>
      </c>
      <c r="D516" t="b">
        <f t="shared" si="8"/>
        <v>1</v>
      </c>
    </row>
    <row r="517" spans="1:4" x14ac:dyDescent="0.25">
      <c r="A517">
        <v>1051</v>
      </c>
      <c r="B517" t="s">
        <v>790</v>
      </c>
      <c r="C517" t="str">
        <f>dummys!B517</f>
        <v>Enseñanza no atribuible a ningún nivel</v>
      </c>
      <c r="D517" t="b">
        <f t="shared" si="8"/>
        <v>1</v>
      </c>
    </row>
    <row r="518" spans="1:4" x14ac:dyDescent="0.25">
      <c r="A518">
        <v>10511</v>
      </c>
      <c r="B518" t="s">
        <v>790</v>
      </c>
      <c r="C518" t="str">
        <f>dummys!B518</f>
        <v>Enseñanza no atribuible a ningún nivel</v>
      </c>
      <c r="D518" t="b">
        <f t="shared" si="8"/>
        <v>1</v>
      </c>
    </row>
    <row r="519" spans="1:4" x14ac:dyDescent="0.25">
      <c r="A519">
        <v>1051101</v>
      </c>
      <c r="B519" t="s">
        <v>791</v>
      </c>
      <c r="C519" t="str">
        <f>dummys!B519</f>
        <v>Clases de idiomas</v>
      </c>
      <c r="D519" t="b">
        <f t="shared" si="8"/>
        <v>1</v>
      </c>
    </row>
    <row r="520" spans="1:4" x14ac:dyDescent="0.25">
      <c r="A520">
        <v>11</v>
      </c>
      <c r="B520" t="s">
        <v>793</v>
      </c>
      <c r="C520" t="str">
        <f>dummys!B520</f>
        <v>Restaurantes y Hoteles</v>
      </c>
      <c r="D520" t="b">
        <f t="shared" si="8"/>
        <v>1</v>
      </c>
    </row>
    <row r="521" spans="1:4" x14ac:dyDescent="0.25">
      <c r="A521">
        <v>111</v>
      </c>
      <c r="B521" t="s">
        <v>794</v>
      </c>
      <c r="C521" t="str">
        <f>dummys!B521</f>
        <v>Servicios de Suministro de Comidas por Contrato</v>
      </c>
      <c r="D521" t="b">
        <f t="shared" si="8"/>
        <v>1</v>
      </c>
    </row>
    <row r="522" spans="1:4" x14ac:dyDescent="0.25">
      <c r="A522">
        <v>1111</v>
      </c>
      <c r="B522" t="s">
        <v>795</v>
      </c>
      <c r="C522" t="str">
        <f>dummys!B522</f>
        <v>Restaurantes, cafés y establecimientos similares</v>
      </c>
      <c r="D522" t="b">
        <f t="shared" si="8"/>
        <v>1</v>
      </c>
    </row>
    <row r="523" spans="1:4" x14ac:dyDescent="0.25">
      <c r="A523">
        <v>11111</v>
      </c>
      <c r="B523" t="s">
        <v>796</v>
      </c>
      <c r="C523" t="str">
        <f>dummys!B523</f>
        <v>Servicio de comida fuera del hogar</v>
      </c>
      <c r="D523" t="b">
        <f t="shared" si="8"/>
        <v>1</v>
      </c>
    </row>
    <row r="524" spans="1:4" x14ac:dyDescent="0.25">
      <c r="A524">
        <v>1111101</v>
      </c>
      <c r="B524" t="s">
        <v>797</v>
      </c>
      <c r="C524" t="str">
        <f>dummys!B524</f>
        <v>Plato del día</v>
      </c>
      <c r="D524" t="b">
        <f t="shared" si="8"/>
        <v>1</v>
      </c>
    </row>
    <row r="525" spans="1:4" x14ac:dyDescent="0.25">
      <c r="A525">
        <v>1111102</v>
      </c>
      <c r="B525" t="s">
        <v>799</v>
      </c>
      <c r="C525" t="str">
        <f>dummys!B525</f>
        <v>Servicio de víveres con acompañamiento</v>
      </c>
      <c r="D525" t="b">
        <f t="shared" si="8"/>
        <v>1</v>
      </c>
    </row>
    <row r="526" spans="1:4" x14ac:dyDescent="0.25">
      <c r="A526">
        <v>1111103</v>
      </c>
      <c r="B526" t="s">
        <v>801</v>
      </c>
      <c r="C526" t="str">
        <f>dummys!B526</f>
        <v>Servicio de pollo</v>
      </c>
      <c r="D526" t="b">
        <f t="shared" si="8"/>
        <v>1</v>
      </c>
    </row>
    <row r="527" spans="1:4" x14ac:dyDescent="0.25">
      <c r="A527">
        <v>1111104</v>
      </c>
      <c r="B527" t="s">
        <v>803</v>
      </c>
      <c r="C527" t="str">
        <f>dummys!B527</f>
        <v>Sandwiches</v>
      </c>
      <c r="D527" t="b">
        <f t="shared" si="8"/>
        <v>1</v>
      </c>
    </row>
    <row r="528" spans="1:4" x14ac:dyDescent="0.25">
      <c r="A528">
        <v>1111105</v>
      </c>
      <c r="B528" t="s">
        <v>805</v>
      </c>
      <c r="C528" t="str">
        <f>dummys!B528</f>
        <v>Pizza</v>
      </c>
      <c r="D528" t="b">
        <f t="shared" si="8"/>
        <v>1</v>
      </c>
    </row>
    <row r="529" spans="1:4" x14ac:dyDescent="0.25">
      <c r="A529">
        <v>1111106</v>
      </c>
      <c r="B529" t="s">
        <v>807</v>
      </c>
      <c r="C529" t="str">
        <f>dummys!B529</f>
        <v>Empanadas</v>
      </c>
      <c r="D529" t="b">
        <f t="shared" si="8"/>
        <v>1</v>
      </c>
    </row>
    <row r="530" spans="1:4" x14ac:dyDescent="0.25">
      <c r="A530">
        <v>1111107</v>
      </c>
      <c r="B530" t="s">
        <v>809</v>
      </c>
      <c r="C530" t="str">
        <f>dummys!B530</f>
        <v>Comida china</v>
      </c>
      <c r="D530" t="b">
        <f t="shared" si="8"/>
        <v>1</v>
      </c>
    </row>
    <row r="531" spans="1:4" x14ac:dyDescent="0.25">
      <c r="A531">
        <v>1111108</v>
      </c>
      <c r="B531" t="s">
        <v>811</v>
      </c>
      <c r="C531" t="str">
        <f>dummys!B531</f>
        <v>Hamburguesas</v>
      </c>
      <c r="D531" t="b">
        <f t="shared" si="8"/>
        <v>1</v>
      </c>
    </row>
    <row r="532" spans="1:4" x14ac:dyDescent="0.25">
      <c r="A532">
        <v>1111116</v>
      </c>
      <c r="B532" t="s">
        <v>813</v>
      </c>
      <c r="C532" t="str">
        <f>dummys!B532</f>
        <v>Postres</v>
      </c>
      <c r="D532" t="b">
        <f t="shared" si="8"/>
        <v>1</v>
      </c>
    </row>
    <row r="533" spans="1:4" x14ac:dyDescent="0.25">
      <c r="A533">
        <v>1111117</v>
      </c>
      <c r="B533" t="s">
        <v>815</v>
      </c>
      <c r="C533" t="str">
        <f>dummys!B533</f>
        <v>Hot Dog</v>
      </c>
      <c r="D533" t="b">
        <f t="shared" si="8"/>
        <v>1</v>
      </c>
    </row>
    <row r="534" spans="1:4" x14ac:dyDescent="0.25">
      <c r="A534">
        <v>11112</v>
      </c>
      <c r="B534" t="s">
        <v>817</v>
      </c>
      <c r="C534" t="str">
        <f>dummys!B534</f>
        <v>Bebidas alcohólicas y no alcohólicas servidas</v>
      </c>
      <c r="D534" t="b">
        <f t="shared" si="8"/>
        <v>1</v>
      </c>
    </row>
    <row r="535" spans="1:4" x14ac:dyDescent="0.25">
      <c r="A535">
        <v>1111201</v>
      </c>
      <c r="B535" t="s">
        <v>818</v>
      </c>
      <c r="C535" t="str">
        <f>dummys!B535</f>
        <v>Cerveza servida fuera del hogar</v>
      </c>
      <c r="D535" t="b">
        <f t="shared" si="8"/>
        <v>1</v>
      </c>
    </row>
    <row r="536" spans="1:4" x14ac:dyDescent="0.25">
      <c r="A536">
        <v>1111202</v>
      </c>
      <c r="B536" t="s">
        <v>820</v>
      </c>
      <c r="C536" t="str">
        <f>dummys!B536</f>
        <v>Jugo servido fuera del hogar</v>
      </c>
      <c r="D536" t="b">
        <f t="shared" si="8"/>
        <v>1</v>
      </c>
    </row>
    <row r="537" spans="1:4" x14ac:dyDescent="0.25">
      <c r="A537">
        <v>1111203</v>
      </c>
      <c r="B537" t="s">
        <v>822</v>
      </c>
      <c r="C537" t="str">
        <f>dummys!B537</f>
        <v>Batida de fruta con leche</v>
      </c>
      <c r="D537" t="b">
        <f t="shared" si="8"/>
        <v>1</v>
      </c>
    </row>
    <row r="538" spans="1:4" x14ac:dyDescent="0.25">
      <c r="A538">
        <v>1111204</v>
      </c>
      <c r="B538" t="s">
        <v>824</v>
      </c>
      <c r="C538" t="str">
        <f>dummys!B538</f>
        <v>Gaseosa servida fuera del hogar</v>
      </c>
      <c r="D538" t="b">
        <f t="shared" si="8"/>
        <v>1</v>
      </c>
    </row>
    <row r="539" spans="1:4" x14ac:dyDescent="0.25">
      <c r="A539">
        <v>1111205</v>
      </c>
      <c r="B539" t="s">
        <v>826</v>
      </c>
      <c r="C539" t="str">
        <f>dummys!B539</f>
        <v>Café servido fuera del hogar</v>
      </c>
      <c r="D539" t="b">
        <f t="shared" si="8"/>
        <v>1</v>
      </c>
    </row>
    <row r="540" spans="1:4" x14ac:dyDescent="0.25">
      <c r="A540">
        <v>112</v>
      </c>
      <c r="B540" t="s">
        <v>828</v>
      </c>
      <c r="C540" t="str">
        <f>dummys!B540</f>
        <v>Servicios de Alojamiento</v>
      </c>
      <c r="D540" t="b">
        <f t="shared" si="8"/>
        <v>1</v>
      </c>
    </row>
    <row r="541" spans="1:4" x14ac:dyDescent="0.25">
      <c r="A541">
        <v>1121</v>
      </c>
      <c r="B541" t="s">
        <v>829</v>
      </c>
      <c r="C541" t="str">
        <f>dummys!B541</f>
        <v>Servicios de alojamiento</v>
      </c>
      <c r="D541" t="b">
        <f t="shared" si="8"/>
        <v>1</v>
      </c>
    </row>
    <row r="542" spans="1:4" x14ac:dyDescent="0.25">
      <c r="A542">
        <v>11211</v>
      </c>
      <c r="B542" t="s">
        <v>829</v>
      </c>
      <c r="C542" t="str">
        <f>dummys!B542</f>
        <v>Servicios de alojamiento</v>
      </c>
      <c r="D542" t="b">
        <f t="shared" si="8"/>
        <v>1</v>
      </c>
    </row>
    <row r="543" spans="1:4" x14ac:dyDescent="0.25">
      <c r="A543">
        <v>1121101</v>
      </c>
      <c r="B543" t="s">
        <v>830</v>
      </c>
      <c r="C543" t="str">
        <f>dummys!B543</f>
        <v>Servicio de alojamiento</v>
      </c>
      <c r="D543" t="b">
        <f t="shared" si="8"/>
        <v>1</v>
      </c>
    </row>
    <row r="544" spans="1:4" x14ac:dyDescent="0.25">
      <c r="A544">
        <v>12</v>
      </c>
      <c r="B544" t="s">
        <v>832</v>
      </c>
      <c r="C544" t="str">
        <f>dummys!B544</f>
        <v>Bienes y Servicios Diversos</v>
      </c>
      <c r="D544" t="b">
        <f t="shared" si="8"/>
        <v>1</v>
      </c>
    </row>
    <row r="545" spans="1:4" x14ac:dyDescent="0.25">
      <c r="A545">
        <v>121</v>
      </c>
      <c r="B545" t="s">
        <v>833</v>
      </c>
      <c r="C545" t="str">
        <f>dummys!B545</f>
        <v>Cuidado Personal</v>
      </c>
      <c r="D545" t="b">
        <f t="shared" si="8"/>
        <v>1</v>
      </c>
    </row>
    <row r="546" spans="1:4" x14ac:dyDescent="0.25">
      <c r="A546">
        <v>1211</v>
      </c>
      <c r="B546" t="s">
        <v>834</v>
      </c>
      <c r="C546" t="str">
        <f>dummys!B546</f>
        <v>Salones de peluquería</v>
      </c>
      <c r="D546" t="b">
        <f t="shared" si="8"/>
        <v>1</v>
      </c>
    </row>
    <row r="547" spans="1:4" x14ac:dyDescent="0.25">
      <c r="A547">
        <v>12111</v>
      </c>
      <c r="B547" t="s">
        <v>835</v>
      </c>
      <c r="C547" t="str">
        <f>dummys!B547</f>
        <v>Servicios de cuidado personal</v>
      </c>
      <c r="D547" t="b">
        <f t="shared" si="8"/>
        <v>1</v>
      </c>
    </row>
    <row r="548" spans="1:4" x14ac:dyDescent="0.25">
      <c r="A548">
        <v>1211101</v>
      </c>
      <c r="B548" t="s">
        <v>836</v>
      </c>
      <c r="C548" t="str">
        <f>dummys!B548</f>
        <v>Lavado y peinado de pelo</v>
      </c>
      <c r="D548" t="b">
        <f t="shared" si="8"/>
        <v>1</v>
      </c>
    </row>
    <row r="549" spans="1:4" x14ac:dyDescent="0.25">
      <c r="A549">
        <v>1211102</v>
      </c>
      <c r="B549" t="s">
        <v>838</v>
      </c>
      <c r="C549" t="str">
        <f>dummys!B549</f>
        <v>Corte de pelo para hombre</v>
      </c>
      <c r="D549" t="b">
        <f t="shared" si="8"/>
        <v>1</v>
      </c>
    </row>
    <row r="550" spans="1:4" x14ac:dyDescent="0.25">
      <c r="A550">
        <v>1211103</v>
      </c>
      <c r="B550" t="s">
        <v>840</v>
      </c>
      <c r="C550" t="str">
        <f>dummys!B550</f>
        <v>Aplicación de desrizado</v>
      </c>
      <c r="D550" t="b">
        <f t="shared" si="8"/>
        <v>1</v>
      </c>
    </row>
    <row r="551" spans="1:4" x14ac:dyDescent="0.25">
      <c r="A551">
        <v>1211104</v>
      </c>
      <c r="B551" t="s">
        <v>842</v>
      </c>
      <c r="C551" t="str">
        <f>dummys!B551</f>
        <v>Aplicación de tintes</v>
      </c>
      <c r="D551" t="b">
        <f t="shared" si="8"/>
        <v>1</v>
      </c>
    </row>
    <row r="552" spans="1:4" x14ac:dyDescent="0.25">
      <c r="A552">
        <v>1211105</v>
      </c>
      <c r="B552" t="s">
        <v>844</v>
      </c>
      <c r="C552" t="str">
        <f>dummys!B552</f>
        <v>Arreglo de uñas (Manicure)</v>
      </c>
      <c r="D552" t="b">
        <f t="shared" si="8"/>
        <v>1</v>
      </c>
    </row>
    <row r="553" spans="1:4" x14ac:dyDescent="0.25">
      <c r="A553">
        <v>1211106</v>
      </c>
      <c r="B553" t="s">
        <v>846</v>
      </c>
      <c r="C553" t="str">
        <f>dummys!B553</f>
        <v>Arreglo de pies (Pedicure)</v>
      </c>
      <c r="D553" t="b">
        <f t="shared" si="8"/>
        <v>1</v>
      </c>
    </row>
    <row r="554" spans="1:4" x14ac:dyDescent="0.25">
      <c r="A554">
        <v>1211107</v>
      </c>
      <c r="B554" t="s">
        <v>848</v>
      </c>
      <c r="C554" t="str">
        <f>dummys!B554</f>
        <v>Corte de pelo para mujer</v>
      </c>
      <c r="D554" t="b">
        <f t="shared" si="8"/>
        <v>1</v>
      </c>
    </row>
    <row r="555" spans="1:4" x14ac:dyDescent="0.25">
      <c r="A555">
        <v>1211108</v>
      </c>
      <c r="B555" t="s">
        <v>850</v>
      </c>
      <c r="C555" t="str">
        <f>dummys!B555</f>
        <v>Afeitado, Arreglo de barba y Cerquillo</v>
      </c>
      <c r="D555" t="b">
        <f t="shared" si="8"/>
        <v>1</v>
      </c>
    </row>
    <row r="556" spans="1:4" x14ac:dyDescent="0.25">
      <c r="A556">
        <v>1213</v>
      </c>
      <c r="B556" t="s">
        <v>852</v>
      </c>
      <c r="C556" t="str">
        <f>dummys!B556</f>
        <v>Otros aparatos, artículos y productos para la atención personal</v>
      </c>
      <c r="D556" t="b">
        <f t="shared" si="8"/>
        <v>1</v>
      </c>
    </row>
    <row r="557" spans="1:4" x14ac:dyDescent="0.25">
      <c r="A557">
        <v>12131</v>
      </c>
      <c r="B557" t="s">
        <v>853</v>
      </c>
      <c r="C557" t="str">
        <f>dummys!B557</f>
        <v>Artículos de cuidado personal</v>
      </c>
      <c r="D557" t="b">
        <f t="shared" si="8"/>
        <v>1</v>
      </c>
    </row>
    <row r="558" spans="1:4" x14ac:dyDescent="0.25">
      <c r="A558">
        <v>1213101</v>
      </c>
      <c r="B558" t="s">
        <v>854</v>
      </c>
      <c r="C558" t="str">
        <f>dummys!B558</f>
        <v>Pañales desechables</v>
      </c>
      <c r="D558" t="b">
        <f t="shared" si="8"/>
        <v>1</v>
      </c>
    </row>
    <row r="559" spans="1:4" x14ac:dyDescent="0.25">
      <c r="A559">
        <v>1213102</v>
      </c>
      <c r="B559" t="s">
        <v>856</v>
      </c>
      <c r="C559" t="str">
        <f>dummys!B559</f>
        <v>Desodorantes</v>
      </c>
      <c r="D559" t="b">
        <f t="shared" si="8"/>
        <v>1</v>
      </c>
    </row>
    <row r="560" spans="1:4" x14ac:dyDescent="0.25">
      <c r="A560">
        <v>1213103</v>
      </c>
      <c r="B560" t="s">
        <v>858</v>
      </c>
      <c r="C560" t="str">
        <f>dummys!B560</f>
        <v>Papel higiénico</v>
      </c>
      <c r="D560" t="b">
        <f t="shared" si="8"/>
        <v>1</v>
      </c>
    </row>
    <row r="561" spans="1:4" x14ac:dyDescent="0.25">
      <c r="A561">
        <v>1213104</v>
      </c>
      <c r="B561" t="s">
        <v>860</v>
      </c>
      <c r="C561" t="str">
        <f>dummys!B561</f>
        <v>Perfumes</v>
      </c>
      <c r="D561" t="b">
        <f t="shared" si="8"/>
        <v>1</v>
      </c>
    </row>
    <row r="562" spans="1:4" x14ac:dyDescent="0.25">
      <c r="A562">
        <v>1213105</v>
      </c>
      <c r="B562" t="s">
        <v>862</v>
      </c>
      <c r="C562" t="str">
        <f>dummys!B562</f>
        <v>Pasta dental</v>
      </c>
      <c r="D562" t="b">
        <f t="shared" si="8"/>
        <v>1</v>
      </c>
    </row>
    <row r="563" spans="1:4" x14ac:dyDescent="0.25">
      <c r="A563">
        <v>1213106</v>
      </c>
      <c r="B563" t="s">
        <v>864</v>
      </c>
      <c r="C563" t="str">
        <f>dummys!B563</f>
        <v>Toallas sanitarias</v>
      </c>
      <c r="D563" t="b">
        <f t="shared" si="8"/>
        <v>1</v>
      </c>
    </row>
    <row r="564" spans="1:4" x14ac:dyDescent="0.25">
      <c r="A564">
        <v>1213107</v>
      </c>
      <c r="B564" t="s">
        <v>866</v>
      </c>
      <c r="C564" t="str">
        <f>dummys!B564</f>
        <v>Jabón de baño</v>
      </c>
      <c r="D564" t="b">
        <f t="shared" si="8"/>
        <v>1</v>
      </c>
    </row>
    <row r="565" spans="1:4" x14ac:dyDescent="0.25">
      <c r="A565">
        <v>1213108</v>
      </c>
      <c r="B565" t="s">
        <v>868</v>
      </c>
      <c r="C565" t="str">
        <f>dummys!B565</f>
        <v>Rasuradora</v>
      </c>
      <c r="D565" t="b">
        <f t="shared" si="8"/>
        <v>1</v>
      </c>
    </row>
    <row r="566" spans="1:4" x14ac:dyDescent="0.25">
      <c r="A566">
        <v>1213109</v>
      </c>
      <c r="B566" t="s">
        <v>870</v>
      </c>
      <c r="C566" t="str">
        <f>dummys!B566</f>
        <v>Shampoo</v>
      </c>
      <c r="D566" t="b">
        <f t="shared" si="8"/>
        <v>1</v>
      </c>
    </row>
    <row r="567" spans="1:4" x14ac:dyDescent="0.25">
      <c r="A567">
        <v>1213110</v>
      </c>
      <c r="B567" t="s">
        <v>872</v>
      </c>
      <c r="C567" t="str">
        <f>dummys!B567</f>
        <v>Tratamientos para el pelo</v>
      </c>
      <c r="D567" t="b">
        <f t="shared" si="8"/>
        <v>1</v>
      </c>
    </row>
    <row r="568" spans="1:4" x14ac:dyDescent="0.25">
      <c r="A568">
        <v>1213111</v>
      </c>
      <c r="B568" t="s">
        <v>874</v>
      </c>
      <c r="C568" t="str">
        <f>dummys!B568</f>
        <v>Tintes para el cabello</v>
      </c>
      <c r="D568" t="b">
        <f t="shared" si="8"/>
        <v>1</v>
      </c>
    </row>
    <row r="569" spans="1:4" x14ac:dyDescent="0.25">
      <c r="A569">
        <v>1213112</v>
      </c>
      <c r="B569" t="s">
        <v>876</v>
      </c>
      <c r="C569" t="str">
        <f>dummys!B569</f>
        <v>Cremas para la piel</v>
      </c>
      <c r="D569" t="b">
        <f t="shared" si="8"/>
        <v>1</v>
      </c>
    </row>
    <row r="570" spans="1:4" x14ac:dyDescent="0.25">
      <c r="A570">
        <v>1213113</v>
      </c>
      <c r="B570" t="s">
        <v>878</v>
      </c>
      <c r="C570" t="str">
        <f>dummys!B570</f>
        <v>Rinse y acondicionador</v>
      </c>
      <c r="D570" t="b">
        <f t="shared" si="8"/>
        <v>1</v>
      </c>
    </row>
    <row r="571" spans="1:4" x14ac:dyDescent="0.25">
      <c r="A571">
        <v>1213114</v>
      </c>
      <c r="B571" t="s">
        <v>880</v>
      </c>
      <c r="C571" t="str">
        <f>dummys!B571</f>
        <v>Enjuague bucal</v>
      </c>
      <c r="D571" t="b">
        <f t="shared" si="8"/>
        <v>1</v>
      </c>
    </row>
    <row r="572" spans="1:4" x14ac:dyDescent="0.25">
      <c r="A572">
        <v>1213115</v>
      </c>
      <c r="B572" t="s">
        <v>882</v>
      </c>
      <c r="C572" t="str">
        <f>dummys!B572</f>
        <v>Cepillos de dientes</v>
      </c>
      <c r="D572" t="b">
        <f t="shared" si="8"/>
        <v>1</v>
      </c>
    </row>
    <row r="573" spans="1:4" x14ac:dyDescent="0.25">
      <c r="A573">
        <v>1213117</v>
      </c>
      <c r="B573" t="s">
        <v>884</v>
      </c>
      <c r="C573" t="str">
        <f>dummys!B573</f>
        <v>Cepillos para el cabello</v>
      </c>
      <c r="D573" t="b">
        <f t="shared" si="8"/>
        <v>1</v>
      </c>
    </row>
    <row r="574" spans="1:4" x14ac:dyDescent="0.25">
      <c r="A574">
        <v>1213118</v>
      </c>
      <c r="B574" t="s">
        <v>1557</v>
      </c>
      <c r="C574" t="str">
        <f>dummys!B574</f>
        <v>Toallitas húmedas (Wipers)</v>
      </c>
      <c r="D574" t="b">
        <f t="shared" si="8"/>
        <v>0</v>
      </c>
    </row>
    <row r="575" spans="1:4" x14ac:dyDescent="0.25">
      <c r="A575">
        <v>1213119</v>
      </c>
      <c r="B575" t="s">
        <v>888</v>
      </c>
      <c r="C575" t="str">
        <f>dummys!B575</f>
        <v>Linea de productos para el pelo</v>
      </c>
      <c r="D575" t="b">
        <f t="shared" si="8"/>
        <v>1</v>
      </c>
    </row>
    <row r="576" spans="1:4" x14ac:dyDescent="0.25">
      <c r="A576">
        <v>1213120</v>
      </c>
      <c r="B576" t="s">
        <v>890</v>
      </c>
      <c r="C576" t="str">
        <f>dummys!B576</f>
        <v>Jabones íntimos</v>
      </c>
      <c r="D576" t="b">
        <f t="shared" si="8"/>
        <v>1</v>
      </c>
    </row>
    <row r="577" spans="1:4" x14ac:dyDescent="0.25">
      <c r="A577">
        <v>1213122</v>
      </c>
      <c r="B577" t="s">
        <v>892</v>
      </c>
      <c r="C577" t="str">
        <f>dummys!B577</f>
        <v>Crema facial</v>
      </c>
      <c r="D577" t="b">
        <f t="shared" si="8"/>
        <v>1</v>
      </c>
    </row>
    <row r="578" spans="1:4" x14ac:dyDescent="0.25">
      <c r="A578">
        <v>1213124</v>
      </c>
      <c r="B578" t="s">
        <v>894</v>
      </c>
      <c r="C578" t="str">
        <f>dummys!B578</f>
        <v>Cosméticos</v>
      </c>
      <c r="D578" t="b">
        <f t="shared" si="8"/>
        <v>1</v>
      </c>
    </row>
    <row r="579" spans="1:4" x14ac:dyDescent="0.25">
      <c r="A579">
        <v>1213125</v>
      </c>
      <c r="B579" t="s">
        <v>896</v>
      </c>
      <c r="C579" t="str">
        <f>dummys!B579</f>
        <v>Esmalte de uñas</v>
      </c>
      <c r="D579" t="b">
        <f t="shared" ref="D579:D613" si="9">C579=B579</f>
        <v>1</v>
      </c>
    </row>
    <row r="580" spans="1:4" x14ac:dyDescent="0.25">
      <c r="A580">
        <v>1213126</v>
      </c>
      <c r="B580" t="s">
        <v>898</v>
      </c>
      <c r="C580" t="str">
        <f>dummys!B580</f>
        <v>Crema para pañales</v>
      </c>
      <c r="D580" t="b">
        <f t="shared" si="9"/>
        <v>1</v>
      </c>
    </row>
    <row r="581" spans="1:4" x14ac:dyDescent="0.25">
      <c r="A581">
        <v>123</v>
      </c>
      <c r="B581" t="s">
        <v>900</v>
      </c>
      <c r="C581" t="str">
        <f>dummys!B581</f>
        <v>Efectos Personales</v>
      </c>
      <c r="D581" t="b">
        <f t="shared" si="9"/>
        <v>1</v>
      </c>
    </row>
    <row r="582" spans="1:4" x14ac:dyDescent="0.25">
      <c r="A582">
        <v>1231</v>
      </c>
      <c r="B582" t="s">
        <v>901</v>
      </c>
      <c r="C582" t="str">
        <f>dummys!B582</f>
        <v>Joyería, relojes de pared y relojes de pulsera</v>
      </c>
      <c r="D582" t="b">
        <f t="shared" si="9"/>
        <v>1</v>
      </c>
    </row>
    <row r="583" spans="1:4" x14ac:dyDescent="0.25">
      <c r="A583">
        <v>12311</v>
      </c>
      <c r="B583" t="s">
        <v>902</v>
      </c>
      <c r="C583" t="str">
        <f>dummys!B583</f>
        <v>Joyería y relojes</v>
      </c>
      <c r="D583" t="b">
        <f t="shared" si="9"/>
        <v>1</v>
      </c>
    </row>
    <row r="584" spans="1:4" x14ac:dyDescent="0.25">
      <c r="A584">
        <v>1231102</v>
      </c>
      <c r="B584" t="s">
        <v>903</v>
      </c>
      <c r="C584" t="str">
        <f>dummys!B584</f>
        <v>Relojes de pulsera</v>
      </c>
      <c r="D584" t="b">
        <f t="shared" si="9"/>
        <v>1</v>
      </c>
    </row>
    <row r="585" spans="1:4" x14ac:dyDescent="0.25">
      <c r="A585">
        <v>1231103</v>
      </c>
      <c r="B585" t="s">
        <v>905</v>
      </c>
      <c r="C585" t="str">
        <f>dummys!B585</f>
        <v>Joyas de fantasía</v>
      </c>
      <c r="D585" t="b">
        <f t="shared" si="9"/>
        <v>1</v>
      </c>
    </row>
    <row r="586" spans="1:4" x14ac:dyDescent="0.25">
      <c r="A586">
        <v>1232</v>
      </c>
      <c r="B586" t="s">
        <v>907</v>
      </c>
      <c r="C586" t="str">
        <f>dummys!B586</f>
        <v>Otros efectos personales</v>
      </c>
      <c r="D586" t="b">
        <f t="shared" si="9"/>
        <v>1</v>
      </c>
    </row>
    <row r="587" spans="1:4" x14ac:dyDescent="0.25">
      <c r="A587">
        <v>12321</v>
      </c>
      <c r="B587" t="s">
        <v>907</v>
      </c>
      <c r="C587" t="str">
        <f>dummys!B587</f>
        <v>Otros efectos personales</v>
      </c>
      <c r="D587" t="b">
        <f t="shared" si="9"/>
        <v>1</v>
      </c>
    </row>
    <row r="588" spans="1:4" x14ac:dyDescent="0.25">
      <c r="A588">
        <v>1232101</v>
      </c>
      <c r="B588" t="s">
        <v>908</v>
      </c>
      <c r="C588" t="str">
        <f>dummys!B588</f>
        <v>Carteras para mujer</v>
      </c>
      <c r="D588" t="b">
        <f t="shared" si="9"/>
        <v>1</v>
      </c>
    </row>
    <row r="589" spans="1:4" x14ac:dyDescent="0.25">
      <c r="A589">
        <v>1232102</v>
      </c>
      <c r="B589" t="s">
        <v>910</v>
      </c>
      <c r="C589" t="str">
        <f>dummys!B589</f>
        <v>Mochilas</v>
      </c>
      <c r="D589" t="b">
        <f t="shared" si="9"/>
        <v>1</v>
      </c>
    </row>
    <row r="590" spans="1:4" x14ac:dyDescent="0.25">
      <c r="A590">
        <v>1232103</v>
      </c>
      <c r="B590" t="s">
        <v>912</v>
      </c>
      <c r="C590" t="str">
        <f>dummys!B590</f>
        <v>Lentes de sol</v>
      </c>
      <c r="D590" t="b">
        <f t="shared" si="9"/>
        <v>1</v>
      </c>
    </row>
    <row r="591" spans="1:4" x14ac:dyDescent="0.25">
      <c r="A591">
        <v>124</v>
      </c>
      <c r="B591" t="s">
        <v>914</v>
      </c>
      <c r="C591" t="str">
        <f>dummys!B591</f>
        <v>Protección social</v>
      </c>
      <c r="D591" t="b">
        <f t="shared" si="9"/>
        <v>1</v>
      </c>
    </row>
    <row r="592" spans="1:4" x14ac:dyDescent="0.25">
      <c r="A592">
        <v>1241</v>
      </c>
      <c r="B592" t="s">
        <v>914</v>
      </c>
      <c r="C592" t="str">
        <f>dummys!B592</f>
        <v>Protección social</v>
      </c>
      <c r="D592" t="b">
        <f t="shared" si="9"/>
        <v>1</v>
      </c>
    </row>
    <row r="593" spans="1:4" x14ac:dyDescent="0.25">
      <c r="A593">
        <v>12411</v>
      </c>
      <c r="B593" t="s">
        <v>914</v>
      </c>
      <c r="C593" t="str">
        <f>dummys!B593</f>
        <v>Protección social</v>
      </c>
      <c r="D593" t="b">
        <f t="shared" si="9"/>
        <v>1</v>
      </c>
    </row>
    <row r="594" spans="1:4" x14ac:dyDescent="0.25">
      <c r="A594">
        <v>1241101</v>
      </c>
      <c r="B594" t="s">
        <v>915</v>
      </c>
      <c r="C594" t="str">
        <f>dummys!B594</f>
        <v>Guardería</v>
      </c>
      <c r="D594" t="b">
        <f t="shared" si="9"/>
        <v>1</v>
      </c>
    </row>
    <row r="595" spans="1:4" x14ac:dyDescent="0.25">
      <c r="A595">
        <v>125</v>
      </c>
      <c r="B595" t="s">
        <v>917</v>
      </c>
      <c r="C595" t="str">
        <f>dummys!B595</f>
        <v>Seguros</v>
      </c>
      <c r="D595" t="b">
        <f t="shared" si="9"/>
        <v>1</v>
      </c>
    </row>
    <row r="596" spans="1:4" x14ac:dyDescent="0.25">
      <c r="A596">
        <v>1253</v>
      </c>
      <c r="B596" t="s">
        <v>918</v>
      </c>
      <c r="C596" t="str">
        <f>dummys!B596</f>
        <v>Seguro relacionado con la salud</v>
      </c>
      <c r="D596" t="b">
        <f t="shared" si="9"/>
        <v>1</v>
      </c>
    </row>
    <row r="597" spans="1:4" x14ac:dyDescent="0.25">
      <c r="A597">
        <v>12531</v>
      </c>
      <c r="B597" t="s">
        <v>918</v>
      </c>
      <c r="C597" t="str">
        <f>dummys!B597</f>
        <v>Seguro relacionado con la salud</v>
      </c>
      <c r="D597" t="b">
        <f t="shared" si="9"/>
        <v>1</v>
      </c>
    </row>
    <row r="598" spans="1:4" x14ac:dyDescent="0.25">
      <c r="A598">
        <v>1253101</v>
      </c>
      <c r="B598" t="s">
        <v>919</v>
      </c>
      <c r="C598" t="str">
        <f>dummys!B598</f>
        <v>Seguro de salud</v>
      </c>
      <c r="D598" t="b">
        <f t="shared" si="9"/>
        <v>1</v>
      </c>
    </row>
    <row r="599" spans="1:4" x14ac:dyDescent="0.25">
      <c r="A599">
        <v>1254</v>
      </c>
      <c r="B599" t="s">
        <v>921</v>
      </c>
      <c r="C599" t="str">
        <f>dummys!B599</f>
        <v>Seguro relacionado con el transporte</v>
      </c>
      <c r="D599" t="b">
        <f t="shared" si="9"/>
        <v>1</v>
      </c>
    </row>
    <row r="600" spans="1:4" x14ac:dyDescent="0.25">
      <c r="A600">
        <v>12541</v>
      </c>
      <c r="B600" t="s">
        <v>921</v>
      </c>
      <c r="C600" t="str">
        <f>dummys!B600</f>
        <v>Seguro relacionado con el transporte</v>
      </c>
      <c r="D600" t="b">
        <f t="shared" si="9"/>
        <v>1</v>
      </c>
    </row>
    <row r="601" spans="1:4" x14ac:dyDescent="0.25">
      <c r="A601">
        <v>1254101</v>
      </c>
      <c r="B601" t="s">
        <v>922</v>
      </c>
      <c r="C601" t="str">
        <f>dummys!B601</f>
        <v>Seguros de vehículos</v>
      </c>
      <c r="D601" t="b">
        <f t="shared" si="9"/>
        <v>1</v>
      </c>
    </row>
    <row r="602" spans="1:4" x14ac:dyDescent="0.25">
      <c r="A602">
        <v>1255</v>
      </c>
      <c r="B602" t="s">
        <v>924</v>
      </c>
      <c r="C602" t="str">
        <f>dummys!B602</f>
        <v>Otros seguros</v>
      </c>
      <c r="D602" t="b">
        <f t="shared" si="9"/>
        <v>1</v>
      </c>
    </row>
    <row r="603" spans="1:4" x14ac:dyDescent="0.25">
      <c r="A603">
        <v>12551</v>
      </c>
      <c r="B603" t="s">
        <v>925</v>
      </c>
      <c r="C603" t="str">
        <f>dummys!B603</f>
        <v>Otros Seguros</v>
      </c>
      <c r="D603" t="b">
        <f t="shared" si="9"/>
        <v>1</v>
      </c>
    </row>
    <row r="604" spans="1:4" x14ac:dyDescent="0.25">
      <c r="A604">
        <v>1255101</v>
      </c>
      <c r="B604" t="s">
        <v>926</v>
      </c>
      <c r="C604" t="str">
        <f>dummys!B604</f>
        <v>Seguros de servicio funerario</v>
      </c>
      <c r="D604" t="b">
        <f t="shared" si="9"/>
        <v>1</v>
      </c>
    </row>
    <row r="605" spans="1:4" x14ac:dyDescent="0.25">
      <c r="A605">
        <v>127</v>
      </c>
      <c r="B605" t="s">
        <v>928</v>
      </c>
      <c r="C605" t="str">
        <f>dummys!B605</f>
        <v>Otros Servicios</v>
      </c>
      <c r="D605" t="b">
        <f t="shared" si="9"/>
        <v>1</v>
      </c>
    </row>
    <row r="606" spans="1:4" x14ac:dyDescent="0.25">
      <c r="A606">
        <v>1271</v>
      </c>
      <c r="B606" t="s">
        <v>929</v>
      </c>
      <c r="C606" t="str">
        <f>dummys!B606</f>
        <v>Otros servicios</v>
      </c>
      <c r="D606" t="b">
        <f t="shared" si="9"/>
        <v>1</v>
      </c>
    </row>
    <row r="607" spans="1:4" x14ac:dyDescent="0.25">
      <c r="A607">
        <v>12711</v>
      </c>
      <c r="B607" t="s">
        <v>929</v>
      </c>
      <c r="C607" t="str">
        <f>dummys!B607</f>
        <v>Otros servicios</v>
      </c>
      <c r="D607" t="b">
        <f t="shared" si="9"/>
        <v>1</v>
      </c>
    </row>
    <row r="608" spans="1:4" x14ac:dyDescent="0.25">
      <c r="A608">
        <v>1271101</v>
      </c>
      <c r="B608" t="s">
        <v>1558</v>
      </c>
      <c r="C608" t="str">
        <f>dummys!B608</f>
        <v>Celebración de eventos</v>
      </c>
      <c r="D608" t="b">
        <f t="shared" si="9"/>
        <v>0</v>
      </c>
    </row>
    <row r="609" spans="1:4" x14ac:dyDescent="0.25">
      <c r="A609">
        <v>1271102</v>
      </c>
      <c r="B609" t="s">
        <v>932</v>
      </c>
      <c r="C609" t="str">
        <f>dummys!B609</f>
        <v>Honorarios a abogados</v>
      </c>
      <c r="D609" t="b">
        <f t="shared" si="9"/>
        <v>1</v>
      </c>
    </row>
    <row r="610" spans="1:4" x14ac:dyDescent="0.25">
      <c r="A610">
        <v>1271103</v>
      </c>
      <c r="B610" t="s">
        <v>934</v>
      </c>
      <c r="C610" t="str">
        <f>dummys!B610</f>
        <v>Servicios funerarios</v>
      </c>
      <c r="D610" t="b">
        <f t="shared" si="9"/>
        <v>1</v>
      </c>
    </row>
    <row r="611" spans="1:4" x14ac:dyDescent="0.25">
      <c r="A611">
        <v>1271104</v>
      </c>
      <c r="B611" t="s">
        <v>936</v>
      </c>
      <c r="C611" t="str">
        <f>dummys!B611</f>
        <v>Fotocopias</v>
      </c>
      <c r="D611" t="b">
        <f t="shared" si="9"/>
        <v>1</v>
      </c>
    </row>
    <row r="612" spans="1:4" x14ac:dyDescent="0.25">
      <c r="A612">
        <v>1271105</v>
      </c>
      <c r="B612" t="s">
        <v>938</v>
      </c>
      <c r="C612" t="str">
        <f>dummys!B612</f>
        <v>Trámite para pasaporte (renovación)</v>
      </c>
      <c r="D612" t="b">
        <f t="shared" si="9"/>
        <v>1</v>
      </c>
    </row>
    <row r="613" spans="1:4" x14ac:dyDescent="0.25">
      <c r="A613" t="s">
        <v>943</v>
      </c>
      <c r="B613" t="s">
        <v>20</v>
      </c>
      <c r="C613" t="str">
        <f>dummys!B613</f>
        <v>Indice General</v>
      </c>
      <c r="D613" t="b">
        <f t="shared" si="9"/>
        <v>1</v>
      </c>
    </row>
  </sheetData>
  <conditionalFormatting sqref="D1:D613">
    <cfRule type="cellIs" dxfId="1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dummys</vt:lpstr>
      <vt:lpstr>comprobacion_codes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Felix Rosa Perez</dc:creator>
  <cp:lastModifiedBy>Johan Felix Rosa Perez</cp:lastModifiedBy>
  <dcterms:created xsi:type="dcterms:W3CDTF">2025-02-26T14:19:13Z</dcterms:created>
  <dcterms:modified xsi:type="dcterms:W3CDTF">2026-07-21T13:38:33Z</dcterms:modified>
</cp:coreProperties>
</file>